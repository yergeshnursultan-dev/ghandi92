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8E47546-7B33-4690-BB0D-E41C6B71A2B3}" xr6:coauthVersionLast="47" xr6:coauthVersionMax="47" xr10:uidLastSave="{00000000-0000-0000-0000-000000000000}"/>
  <bookViews>
    <workbookView xWindow="-120" yWindow="-120" windowWidth="20730" windowHeight="11040" firstSheet="11" activeTab="11" xr2:uid="{00000000-000D-0000-FFFF-FFFF00000000}"/>
  </bookViews>
  <sheets>
    <sheet name="M1" sheetId="25" r:id="rId1"/>
    <sheet name="Рсалиева Асем Айдарқызы" sheetId="5" r:id="rId2"/>
    <sheet name="Қожабай Абай Мырзабекұлы" sheetId="6" r:id="rId3"/>
    <sheet name="Қанафина Жаңагүл Несіпбайқызы" sheetId="7" r:id="rId4"/>
    <sheet name="Қайратұлы Ақылжан" sheetId="17" r:id="rId5"/>
    <sheet name="Рахимов Жанболат Жумабаеввич" sheetId="28" r:id="rId6"/>
    <sheet name="Рамазанова Ақбаян Азаматқызы" sheetId="8" r:id="rId7"/>
    <sheet name="Әубәкір Ізгіжан Еркінбекқызы" sheetId="9" r:id="rId8"/>
    <sheet name="Төреқұлова Гүлмира Розматқызы" sheetId="11" r:id="rId9"/>
    <sheet name="Бекаділ Гүлбүбі" sheetId="12" r:id="rId10"/>
    <sheet name="Құандық Аршын" sheetId="16" r:id="rId11"/>
    <sheet name="Нурмукан Айдана Сейсенқызы" sheetId="15" r:id="rId12"/>
    <sheet name="Ергеш Нұрсұлтан Сагитянұлы" sheetId="10" r:id="rId13"/>
    <sheet name="Өмірбекова Заида Маратқызы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57" i="15" l="1"/>
  <c r="S157" i="13"/>
  <c r="T156" i="13"/>
  <c r="T155" i="13"/>
  <c r="T154" i="13"/>
  <c r="T153" i="13"/>
  <c r="T151" i="13"/>
  <c r="T150" i="13"/>
  <c r="T148" i="13"/>
  <c r="T147" i="13"/>
  <c r="T146" i="13"/>
  <c r="T145" i="13"/>
  <c r="T144" i="13"/>
  <c r="T143" i="13"/>
  <c r="T142" i="13"/>
  <c r="T141" i="13"/>
  <c r="T140" i="13"/>
  <c r="T138" i="13"/>
  <c r="T137" i="13"/>
  <c r="T136" i="13"/>
  <c r="T135" i="13"/>
  <c r="T134" i="13"/>
  <c r="T130" i="13"/>
  <c r="T129" i="13"/>
  <c r="T128" i="13"/>
  <c r="T127" i="13"/>
  <c r="S127" i="13"/>
  <c r="R127" i="13"/>
  <c r="Q127" i="13"/>
  <c r="P127" i="13"/>
  <c r="T121" i="13"/>
  <c r="T120" i="13"/>
  <c r="T117" i="13"/>
  <c r="T116" i="13"/>
  <c r="T115" i="13"/>
  <c r="T114" i="13"/>
  <c r="T113" i="13"/>
  <c r="T112" i="13"/>
  <c r="T111" i="13"/>
  <c r="T110" i="13"/>
  <c r="T109" i="13"/>
  <c r="T108" i="13"/>
  <c r="T107" i="13"/>
  <c r="T106" i="13"/>
  <c r="T105" i="13"/>
  <c r="T104" i="13"/>
  <c r="T103" i="13"/>
  <c r="T102" i="13"/>
  <c r="T101" i="13"/>
  <c r="T100" i="13"/>
  <c r="T98" i="13"/>
  <c r="T97" i="13"/>
  <c r="T96" i="13"/>
  <c r="T94" i="13"/>
  <c r="T93" i="13"/>
  <c r="T92" i="13"/>
  <c r="T91" i="13"/>
  <c r="T90" i="13"/>
  <c r="T89" i="13"/>
  <c r="T88" i="13"/>
  <c r="T87" i="13"/>
  <c r="T86" i="13"/>
  <c r="T85" i="13"/>
  <c r="T84" i="13"/>
  <c r="T83" i="13"/>
  <c r="T82" i="13"/>
  <c r="T81" i="13"/>
  <c r="T80" i="13"/>
  <c r="T79" i="13"/>
  <c r="T78" i="13"/>
  <c r="T77" i="13"/>
  <c r="T74" i="13"/>
  <c r="T73" i="13"/>
  <c r="T72" i="13"/>
  <c r="T71" i="13"/>
  <c r="T70" i="13"/>
  <c r="T69" i="13"/>
  <c r="T68" i="13"/>
  <c r="T67" i="13"/>
  <c r="T66" i="13"/>
  <c r="T65" i="13"/>
  <c r="T64" i="13"/>
  <c r="T63" i="13"/>
  <c r="T62" i="13"/>
  <c r="T61" i="13"/>
  <c r="T60" i="13"/>
  <c r="T59" i="13"/>
  <c r="T58" i="13"/>
  <c r="T57" i="13"/>
  <c r="T56" i="13"/>
  <c r="T55" i="13"/>
  <c r="T54" i="13"/>
  <c r="T53" i="13"/>
  <c r="T52" i="13"/>
  <c r="T51" i="13"/>
  <c r="T50" i="13"/>
  <c r="T49" i="13"/>
  <c r="T48" i="13"/>
  <c r="T47" i="13"/>
  <c r="T46" i="13"/>
  <c r="T45" i="13"/>
  <c r="T44" i="13"/>
  <c r="T43" i="13"/>
  <c r="T42" i="13"/>
  <c r="T41" i="13"/>
  <c r="T40" i="13"/>
  <c r="T39" i="13"/>
  <c r="T38" i="13"/>
  <c r="T35" i="13"/>
  <c r="T34" i="13"/>
  <c r="T31" i="13"/>
  <c r="T29" i="13"/>
  <c r="T27" i="13"/>
  <c r="T25" i="13"/>
  <c r="T22" i="13"/>
  <c r="T19" i="13"/>
  <c r="S19" i="13"/>
  <c r="O19" i="13"/>
  <c r="K19" i="13"/>
  <c r="G19" i="13"/>
  <c r="T16" i="13"/>
  <c r="T14" i="13"/>
  <c r="S14" i="13"/>
  <c r="M14" i="13"/>
  <c r="H14" i="13"/>
  <c r="T12" i="13"/>
  <c r="S12" i="13"/>
  <c r="M12" i="13"/>
  <c r="H12" i="13"/>
  <c r="S157" i="10"/>
  <c r="T156" i="10"/>
  <c r="T155" i="10"/>
  <c r="T154" i="10"/>
  <c r="T153" i="10"/>
  <c r="T151" i="10"/>
  <c r="T150" i="10"/>
  <c r="T148" i="10"/>
  <c r="T147" i="10"/>
  <c r="T146" i="10"/>
  <c r="T145" i="10"/>
  <c r="T144" i="10"/>
  <c r="T143" i="10"/>
  <c r="T142" i="10"/>
  <c r="T141" i="10"/>
  <c r="T140" i="10"/>
  <c r="T138" i="10"/>
  <c r="T137" i="10"/>
  <c r="T136" i="10"/>
  <c r="T135" i="10"/>
  <c r="T134" i="10"/>
  <c r="T130" i="10"/>
  <c r="T129" i="10"/>
  <c r="T128" i="10"/>
  <c r="T127" i="10"/>
  <c r="S127" i="10"/>
  <c r="R127" i="10"/>
  <c r="Q127" i="10"/>
  <c r="P127" i="10"/>
  <c r="T121" i="10"/>
  <c r="T120" i="10"/>
  <c r="T117" i="10"/>
  <c r="T116" i="10"/>
  <c r="T115" i="10"/>
  <c r="T114" i="10"/>
  <c r="T113" i="10"/>
  <c r="T112" i="10"/>
  <c r="T111" i="10"/>
  <c r="T110" i="10"/>
  <c r="T109" i="10"/>
  <c r="T108" i="10"/>
  <c r="T107" i="10"/>
  <c r="T106" i="10"/>
  <c r="T105" i="10"/>
  <c r="T104" i="10"/>
  <c r="T103" i="10"/>
  <c r="T102" i="10"/>
  <c r="T101" i="10"/>
  <c r="T100" i="10"/>
  <c r="T98" i="10"/>
  <c r="T97" i="10"/>
  <c r="T96" i="10"/>
  <c r="T94" i="10"/>
  <c r="T93" i="10"/>
  <c r="T92" i="10"/>
  <c r="T91" i="10"/>
  <c r="T90" i="10"/>
  <c r="T89" i="10"/>
  <c r="T88" i="10"/>
  <c r="T87" i="10"/>
  <c r="T86" i="10"/>
  <c r="T85" i="10"/>
  <c r="T84" i="10"/>
  <c r="T83" i="10"/>
  <c r="T82" i="10"/>
  <c r="T81" i="10"/>
  <c r="T80" i="10"/>
  <c r="T79" i="10"/>
  <c r="T78" i="10"/>
  <c r="T77" i="10"/>
  <c r="T74" i="10"/>
  <c r="T73" i="10"/>
  <c r="T72" i="10"/>
  <c r="T71" i="10"/>
  <c r="T70" i="10"/>
  <c r="T69" i="10"/>
  <c r="T68" i="10"/>
  <c r="T67" i="10"/>
  <c r="T66" i="10"/>
  <c r="T65" i="10"/>
  <c r="T64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4" i="10"/>
  <c r="T43" i="10"/>
  <c r="T42" i="10"/>
  <c r="T41" i="10"/>
  <c r="T40" i="10"/>
  <c r="T39" i="10"/>
  <c r="T38" i="10"/>
  <c r="T35" i="10"/>
  <c r="T34" i="10"/>
  <c r="T31" i="10"/>
  <c r="T29" i="10"/>
  <c r="T27" i="10"/>
  <c r="T25" i="10"/>
  <c r="T22" i="10"/>
  <c r="T19" i="10"/>
  <c r="S19" i="10"/>
  <c r="O19" i="10"/>
  <c r="K19" i="10"/>
  <c r="G19" i="10"/>
  <c r="T16" i="10"/>
  <c r="T14" i="10"/>
  <c r="S14" i="10"/>
  <c r="M14" i="10"/>
  <c r="H14" i="10"/>
  <c r="T12" i="10"/>
  <c r="S12" i="10"/>
  <c r="M12" i="10"/>
  <c r="H12" i="10"/>
  <c r="T154" i="15"/>
  <c r="T147" i="15"/>
  <c r="T146" i="15"/>
  <c r="T145" i="15"/>
  <c r="T144" i="15"/>
  <c r="T143" i="15"/>
  <c r="T142" i="15"/>
  <c r="T141" i="15"/>
  <c r="T140" i="15"/>
  <c r="T138" i="15"/>
  <c r="T137" i="15"/>
  <c r="T136" i="15"/>
  <c r="T135" i="15"/>
  <c r="T134" i="15"/>
  <c r="T129" i="15"/>
  <c r="S127" i="15"/>
  <c r="R127" i="15"/>
  <c r="Q127" i="15"/>
  <c r="P127" i="15"/>
  <c r="T127" i="15" s="1"/>
  <c r="T128" i="15" s="1"/>
  <c r="T121" i="15"/>
  <c r="T120" i="15"/>
  <c r="T115" i="15"/>
  <c r="T114" i="15"/>
  <c r="T116" i="15" s="1"/>
  <c r="T112" i="15"/>
  <c r="T111" i="15"/>
  <c r="T110" i="15"/>
  <c r="T109" i="15"/>
  <c r="T108" i="15"/>
  <c r="T107" i="15"/>
  <c r="T106" i="15"/>
  <c r="T105" i="15"/>
  <c r="T113" i="15" s="1"/>
  <c r="T103" i="15"/>
  <c r="T102" i="15"/>
  <c r="T101" i="15"/>
  <c r="T100" i="15"/>
  <c r="T97" i="15"/>
  <c r="T96" i="15"/>
  <c r="T94" i="15"/>
  <c r="T92" i="15"/>
  <c r="T91" i="15"/>
  <c r="T90" i="15"/>
  <c r="T89" i="15"/>
  <c r="T87" i="15"/>
  <c r="T86" i="15"/>
  <c r="T85" i="15"/>
  <c r="T84" i="15"/>
  <c r="T83" i="15"/>
  <c r="T81" i="15"/>
  <c r="T80" i="15"/>
  <c r="T79" i="15"/>
  <c r="T78" i="15"/>
  <c r="T77" i="15"/>
  <c r="T82" i="15" s="1"/>
  <c r="T73" i="15"/>
  <c r="T72" i="15"/>
  <c r="T71" i="15"/>
  <c r="T70" i="15"/>
  <c r="T69" i="15"/>
  <c r="T67" i="15"/>
  <c r="T66" i="15"/>
  <c r="T65" i="15"/>
  <c r="T64" i="15"/>
  <c r="T63" i="15"/>
  <c r="T68" i="15" s="1"/>
  <c r="T62" i="15"/>
  <c r="T61" i="15"/>
  <c r="T60" i="15"/>
  <c r="T59" i="15"/>
  <c r="T58" i="15"/>
  <c r="T57" i="15"/>
  <c r="T56" i="15"/>
  <c r="T55" i="15"/>
  <c r="T54" i="15"/>
  <c r="T53" i="15"/>
  <c r="T52" i="15"/>
  <c r="T51" i="15"/>
  <c r="T49" i="15"/>
  <c r="T48" i="15"/>
  <c r="T50" i="15" s="1"/>
  <c r="T47" i="15"/>
  <c r="T46" i="15"/>
  <c r="T45" i="15"/>
  <c r="T43" i="15"/>
  <c r="T42" i="15"/>
  <c r="T41" i="15"/>
  <c r="T40" i="15"/>
  <c r="T39" i="15"/>
  <c r="T38" i="15"/>
  <c r="T35" i="15"/>
  <c r="T34" i="15"/>
  <c r="T31" i="15"/>
  <c r="T29" i="15"/>
  <c r="T27" i="15"/>
  <c r="T25" i="15"/>
  <c r="T22" i="15"/>
  <c r="T19" i="15"/>
  <c r="S19" i="15"/>
  <c r="O19" i="15"/>
  <c r="K19" i="15"/>
  <c r="G19" i="15"/>
  <c r="T16" i="15"/>
  <c r="T14" i="15"/>
  <c r="S14" i="15"/>
  <c r="M14" i="15"/>
  <c r="H14" i="15"/>
  <c r="T12" i="15"/>
  <c r="S12" i="15"/>
  <c r="M12" i="15"/>
  <c r="H12" i="15"/>
  <c r="A1" i="15" a="1"/>
  <c r="S157" i="16"/>
  <c r="T156" i="16"/>
  <c r="T155" i="16"/>
  <c r="T154" i="16"/>
  <c r="T153" i="16"/>
  <c r="T151" i="16"/>
  <c r="T150" i="16"/>
  <c r="T148" i="16"/>
  <c r="T147" i="16"/>
  <c r="T146" i="16"/>
  <c r="T145" i="16"/>
  <c r="T144" i="16"/>
  <c r="T143" i="16"/>
  <c r="T142" i="16"/>
  <c r="T141" i="16"/>
  <c r="T140" i="16"/>
  <c r="T138" i="16"/>
  <c r="T137" i="16"/>
  <c r="T136" i="16"/>
  <c r="T135" i="16"/>
  <c r="T134" i="16"/>
  <c r="T130" i="16"/>
  <c r="T129" i="16"/>
  <c r="T128" i="16"/>
  <c r="T127" i="16"/>
  <c r="S127" i="16"/>
  <c r="R127" i="16"/>
  <c r="Q127" i="16"/>
  <c r="P127" i="16"/>
  <c r="T121" i="16"/>
  <c r="T120" i="16"/>
  <c r="T117" i="16"/>
  <c r="T116" i="16"/>
  <c r="T115" i="16"/>
  <c r="T114" i="16"/>
  <c r="T113" i="16"/>
  <c r="T112" i="16"/>
  <c r="T111" i="16"/>
  <c r="T110" i="16"/>
  <c r="T109" i="16"/>
  <c r="T108" i="16"/>
  <c r="T107" i="16"/>
  <c r="T106" i="16"/>
  <c r="T105" i="16"/>
  <c r="T104" i="16"/>
  <c r="T103" i="16"/>
  <c r="T102" i="16"/>
  <c r="T101" i="16"/>
  <c r="T100" i="16"/>
  <c r="T98" i="16"/>
  <c r="T97" i="16"/>
  <c r="T96" i="16"/>
  <c r="T94" i="16"/>
  <c r="T93" i="16"/>
  <c r="T92" i="16"/>
  <c r="T91" i="16"/>
  <c r="T90" i="16"/>
  <c r="T89" i="16"/>
  <c r="T88" i="16"/>
  <c r="T87" i="16"/>
  <c r="T86" i="16"/>
  <c r="T85" i="16"/>
  <c r="T84" i="16"/>
  <c r="T83" i="16"/>
  <c r="T82" i="16"/>
  <c r="T81" i="16"/>
  <c r="T80" i="16"/>
  <c r="T79" i="16"/>
  <c r="T78" i="16"/>
  <c r="T77" i="16"/>
  <c r="T74" i="16"/>
  <c r="T73" i="16"/>
  <c r="T72" i="16"/>
  <c r="T71" i="16"/>
  <c r="T70" i="16"/>
  <c r="T69" i="16"/>
  <c r="T68" i="16"/>
  <c r="T67" i="16"/>
  <c r="T66" i="16"/>
  <c r="T65" i="16"/>
  <c r="T64" i="16"/>
  <c r="T63" i="16"/>
  <c r="T62" i="16"/>
  <c r="T61" i="16"/>
  <c r="T60" i="16"/>
  <c r="T59" i="16"/>
  <c r="T58" i="16"/>
  <c r="T57" i="16"/>
  <c r="T56" i="16"/>
  <c r="T55" i="16"/>
  <c r="T54" i="16"/>
  <c r="T53" i="16"/>
  <c r="T52" i="16"/>
  <c r="T51" i="16"/>
  <c r="T50" i="16"/>
  <c r="T49" i="16"/>
  <c r="T48" i="16"/>
  <c r="T47" i="16"/>
  <c r="T46" i="16"/>
  <c r="T45" i="16"/>
  <c r="T44" i="16"/>
  <c r="T43" i="16"/>
  <c r="T42" i="16"/>
  <c r="T41" i="16"/>
  <c r="T40" i="16"/>
  <c r="T39" i="16"/>
  <c r="T38" i="16"/>
  <c r="T35" i="16"/>
  <c r="T34" i="16"/>
  <c r="T31" i="16"/>
  <c r="T29" i="16"/>
  <c r="T27" i="16"/>
  <c r="T25" i="16"/>
  <c r="T22" i="16"/>
  <c r="T19" i="16"/>
  <c r="S19" i="16"/>
  <c r="O19" i="16"/>
  <c r="K19" i="16"/>
  <c r="G19" i="16"/>
  <c r="T16" i="16"/>
  <c r="T14" i="16"/>
  <c r="S14" i="16"/>
  <c r="M14" i="16"/>
  <c r="H14" i="16"/>
  <c r="T12" i="16"/>
  <c r="S12" i="16"/>
  <c r="M12" i="16"/>
  <c r="H12" i="16"/>
  <c r="S157" i="12"/>
  <c r="T156" i="12"/>
  <c r="T155" i="12"/>
  <c r="T154" i="12"/>
  <c r="T153" i="12"/>
  <c r="T151" i="12"/>
  <c r="T150" i="12"/>
  <c r="T148" i="12"/>
  <c r="T147" i="12"/>
  <c r="T146" i="12"/>
  <c r="T145" i="12"/>
  <c r="T144" i="12"/>
  <c r="T143" i="12"/>
  <c r="T142" i="12"/>
  <c r="T141" i="12"/>
  <c r="T140" i="12"/>
  <c r="T138" i="12"/>
  <c r="T137" i="12"/>
  <c r="T136" i="12"/>
  <c r="T135" i="12"/>
  <c r="T134" i="12"/>
  <c r="T130" i="12"/>
  <c r="T129" i="12"/>
  <c r="T128" i="12"/>
  <c r="T127" i="12"/>
  <c r="S127" i="12"/>
  <c r="R127" i="12"/>
  <c r="Q127" i="12"/>
  <c r="P127" i="12"/>
  <c r="T121" i="12"/>
  <c r="T120" i="12"/>
  <c r="T117" i="12"/>
  <c r="T116" i="12"/>
  <c r="T115" i="12"/>
  <c r="T114" i="12"/>
  <c r="T113" i="12"/>
  <c r="T112" i="12"/>
  <c r="T111" i="12"/>
  <c r="T110" i="12"/>
  <c r="T109" i="12"/>
  <c r="T108" i="12"/>
  <c r="T107" i="12"/>
  <c r="T106" i="12"/>
  <c r="T105" i="12"/>
  <c r="T104" i="12"/>
  <c r="T103" i="12"/>
  <c r="T102" i="12"/>
  <c r="T101" i="12"/>
  <c r="T100" i="12"/>
  <c r="T98" i="12"/>
  <c r="T97" i="12"/>
  <c r="T96" i="12"/>
  <c r="T94" i="12"/>
  <c r="T93" i="12"/>
  <c r="T92" i="12"/>
  <c r="T91" i="12"/>
  <c r="T90" i="12"/>
  <c r="T89" i="12"/>
  <c r="T88" i="12"/>
  <c r="T87" i="12"/>
  <c r="T86" i="12"/>
  <c r="T85" i="12"/>
  <c r="T84" i="12"/>
  <c r="T83" i="12"/>
  <c r="T82" i="12"/>
  <c r="T81" i="12"/>
  <c r="T80" i="12"/>
  <c r="T79" i="12"/>
  <c r="T78" i="12"/>
  <c r="T77" i="12"/>
  <c r="T74" i="12"/>
  <c r="T73" i="12"/>
  <c r="T72" i="12"/>
  <c r="T71" i="12"/>
  <c r="T70" i="12"/>
  <c r="T69" i="12"/>
  <c r="T68" i="12"/>
  <c r="T67" i="12"/>
  <c r="T66" i="12"/>
  <c r="T65" i="12"/>
  <c r="T64" i="12"/>
  <c r="T63" i="12"/>
  <c r="T62" i="12"/>
  <c r="T61" i="12"/>
  <c r="T60" i="12"/>
  <c r="T59" i="12"/>
  <c r="T58" i="12"/>
  <c r="T57" i="12"/>
  <c r="T56" i="12"/>
  <c r="T55" i="12"/>
  <c r="T54" i="12"/>
  <c r="T53" i="12"/>
  <c r="T52" i="12"/>
  <c r="T51" i="12"/>
  <c r="T50" i="12"/>
  <c r="T49" i="12"/>
  <c r="T48" i="12"/>
  <c r="T47" i="12"/>
  <c r="T46" i="12"/>
  <c r="T45" i="12"/>
  <c r="T44" i="12"/>
  <c r="T43" i="12"/>
  <c r="T42" i="12"/>
  <c r="T41" i="12"/>
  <c r="T40" i="12"/>
  <c r="T39" i="12"/>
  <c r="T38" i="12"/>
  <c r="T35" i="12"/>
  <c r="T34" i="12"/>
  <c r="T31" i="12"/>
  <c r="T29" i="12"/>
  <c r="T27" i="12"/>
  <c r="T25" i="12"/>
  <c r="T22" i="12"/>
  <c r="T19" i="12"/>
  <c r="S19" i="12"/>
  <c r="O19" i="12"/>
  <c r="K19" i="12"/>
  <c r="G19" i="12"/>
  <c r="T16" i="12"/>
  <c r="T14" i="12"/>
  <c r="S14" i="12"/>
  <c r="M14" i="12"/>
  <c r="H14" i="12"/>
  <c r="T12" i="12"/>
  <c r="S12" i="12"/>
  <c r="M12" i="12"/>
  <c r="H12" i="12"/>
  <c r="S157" i="11"/>
  <c r="T156" i="11"/>
  <c r="T155" i="11"/>
  <c r="T154" i="11"/>
  <c r="T153" i="11"/>
  <c r="T151" i="11"/>
  <c r="T150" i="11"/>
  <c r="T148" i="11"/>
  <c r="T147" i="11"/>
  <c r="T146" i="11"/>
  <c r="T145" i="11"/>
  <c r="T144" i="11"/>
  <c r="T143" i="11"/>
  <c r="T142" i="11"/>
  <c r="T141" i="11"/>
  <c r="T140" i="11"/>
  <c r="T138" i="11"/>
  <c r="T137" i="11"/>
  <c r="T136" i="11"/>
  <c r="T135" i="11"/>
  <c r="T134" i="11"/>
  <c r="T130" i="11"/>
  <c r="T129" i="11"/>
  <c r="T128" i="11"/>
  <c r="T127" i="11"/>
  <c r="S127" i="11"/>
  <c r="R127" i="11"/>
  <c r="Q127" i="11"/>
  <c r="P127" i="11"/>
  <c r="T121" i="11"/>
  <c r="T120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8" i="11"/>
  <c r="T97" i="11"/>
  <c r="T96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5" i="11"/>
  <c r="T34" i="11"/>
  <c r="T31" i="11"/>
  <c r="T29" i="11"/>
  <c r="T27" i="11"/>
  <c r="T25" i="11"/>
  <c r="T22" i="11"/>
  <c r="T19" i="11"/>
  <c r="S19" i="11"/>
  <c r="O19" i="11"/>
  <c r="K19" i="11"/>
  <c r="G19" i="11"/>
  <c r="T16" i="11"/>
  <c r="T14" i="11"/>
  <c r="S14" i="11"/>
  <c r="M14" i="11"/>
  <c r="H14" i="11"/>
  <c r="T12" i="11"/>
  <c r="S12" i="11"/>
  <c r="M12" i="11"/>
  <c r="H12" i="11"/>
  <c r="S157" i="9"/>
  <c r="T156" i="9"/>
  <c r="T155" i="9"/>
  <c r="T154" i="9"/>
  <c r="T153" i="9"/>
  <c r="T151" i="9"/>
  <c r="T150" i="9"/>
  <c r="T148" i="9"/>
  <c r="T147" i="9"/>
  <c r="T146" i="9"/>
  <c r="T145" i="9"/>
  <c r="T144" i="9"/>
  <c r="T143" i="9"/>
  <c r="T142" i="9"/>
  <c r="T141" i="9"/>
  <c r="T140" i="9"/>
  <c r="T138" i="9"/>
  <c r="T137" i="9"/>
  <c r="T136" i="9"/>
  <c r="T135" i="9"/>
  <c r="T134" i="9"/>
  <c r="T130" i="9"/>
  <c r="T129" i="9"/>
  <c r="T128" i="9"/>
  <c r="T127" i="9"/>
  <c r="S127" i="9"/>
  <c r="R127" i="9"/>
  <c r="Q127" i="9"/>
  <c r="P127" i="9"/>
  <c r="T121" i="9"/>
  <c r="T120" i="9"/>
  <c r="T117" i="9"/>
  <c r="T116" i="9"/>
  <c r="T115" i="9"/>
  <c r="T114" i="9"/>
  <c r="T113" i="9"/>
  <c r="T112" i="9"/>
  <c r="T111" i="9"/>
  <c r="T110" i="9"/>
  <c r="T109" i="9"/>
  <c r="T108" i="9"/>
  <c r="T107" i="9"/>
  <c r="T106" i="9"/>
  <c r="T105" i="9"/>
  <c r="T104" i="9"/>
  <c r="T103" i="9"/>
  <c r="T102" i="9"/>
  <c r="T101" i="9"/>
  <c r="T100" i="9"/>
  <c r="T98" i="9"/>
  <c r="T97" i="9"/>
  <c r="T96" i="9"/>
  <c r="T94" i="9"/>
  <c r="T93" i="9"/>
  <c r="T92" i="9"/>
  <c r="T91" i="9"/>
  <c r="T90" i="9"/>
  <c r="T89" i="9"/>
  <c r="T88" i="9"/>
  <c r="T87" i="9"/>
  <c r="T86" i="9"/>
  <c r="T85" i="9"/>
  <c r="T84" i="9"/>
  <c r="T83" i="9"/>
  <c r="T82" i="9"/>
  <c r="T81" i="9"/>
  <c r="T80" i="9"/>
  <c r="T79" i="9"/>
  <c r="T78" i="9"/>
  <c r="T77" i="9"/>
  <c r="T74" i="9"/>
  <c r="T73" i="9"/>
  <c r="T72" i="9"/>
  <c r="T71" i="9"/>
  <c r="T70" i="9"/>
  <c r="T69" i="9"/>
  <c r="T68" i="9"/>
  <c r="T67" i="9"/>
  <c r="T66" i="9"/>
  <c r="T65" i="9"/>
  <c r="T64" i="9"/>
  <c r="T63" i="9"/>
  <c r="T62" i="9"/>
  <c r="T61" i="9"/>
  <c r="T60" i="9"/>
  <c r="T59" i="9"/>
  <c r="T58" i="9"/>
  <c r="T57" i="9"/>
  <c r="T56" i="9"/>
  <c r="T55" i="9"/>
  <c r="T54" i="9"/>
  <c r="T53" i="9"/>
  <c r="T52" i="9"/>
  <c r="T51" i="9"/>
  <c r="T50" i="9"/>
  <c r="T49" i="9"/>
  <c r="T48" i="9"/>
  <c r="T47" i="9"/>
  <c r="T46" i="9"/>
  <c r="T45" i="9"/>
  <c r="T44" i="9"/>
  <c r="T43" i="9"/>
  <c r="T42" i="9"/>
  <c r="T41" i="9"/>
  <c r="T40" i="9"/>
  <c r="T39" i="9"/>
  <c r="T38" i="9"/>
  <c r="T35" i="9"/>
  <c r="T34" i="9"/>
  <c r="T31" i="9"/>
  <c r="T29" i="9"/>
  <c r="T27" i="9"/>
  <c r="T25" i="9"/>
  <c r="T22" i="9"/>
  <c r="T19" i="9"/>
  <c r="S19" i="9"/>
  <c r="O19" i="9"/>
  <c r="K19" i="9"/>
  <c r="G19" i="9"/>
  <c r="T16" i="9"/>
  <c r="T14" i="9"/>
  <c r="S14" i="9"/>
  <c r="M14" i="9"/>
  <c r="H14" i="9"/>
  <c r="T12" i="9"/>
  <c r="S12" i="9"/>
  <c r="M12" i="9"/>
  <c r="H12" i="9"/>
  <c r="S157" i="8"/>
  <c r="T156" i="8"/>
  <c r="T155" i="8"/>
  <c r="T154" i="8"/>
  <c r="T153" i="8"/>
  <c r="T151" i="8"/>
  <c r="T150" i="8"/>
  <c r="T148" i="8"/>
  <c r="T147" i="8"/>
  <c r="T146" i="8"/>
  <c r="T145" i="8"/>
  <c r="T144" i="8"/>
  <c r="T143" i="8"/>
  <c r="T142" i="8"/>
  <c r="T141" i="8"/>
  <c r="T140" i="8"/>
  <c r="T138" i="8"/>
  <c r="T137" i="8"/>
  <c r="T136" i="8"/>
  <c r="T135" i="8"/>
  <c r="T134" i="8"/>
  <c r="T130" i="8"/>
  <c r="T129" i="8"/>
  <c r="T128" i="8"/>
  <c r="T127" i="8"/>
  <c r="S127" i="8"/>
  <c r="R127" i="8"/>
  <c r="Q127" i="8"/>
  <c r="P127" i="8"/>
  <c r="T121" i="8"/>
  <c r="T120" i="8"/>
  <c r="T117" i="8"/>
  <c r="T116" i="8"/>
  <c r="T115" i="8"/>
  <c r="T114" i="8"/>
  <c r="T113" i="8"/>
  <c r="T112" i="8"/>
  <c r="T111" i="8"/>
  <c r="T110" i="8"/>
  <c r="T109" i="8"/>
  <c r="T108" i="8"/>
  <c r="T107" i="8"/>
  <c r="T106" i="8"/>
  <c r="T105" i="8"/>
  <c r="T104" i="8"/>
  <c r="T103" i="8"/>
  <c r="T102" i="8"/>
  <c r="T101" i="8"/>
  <c r="T100" i="8"/>
  <c r="T98" i="8"/>
  <c r="T97" i="8"/>
  <c r="T96" i="8"/>
  <c r="T94" i="8"/>
  <c r="T93" i="8"/>
  <c r="T92" i="8"/>
  <c r="T91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5" i="8"/>
  <c r="T34" i="8"/>
  <c r="T31" i="8"/>
  <c r="T29" i="8"/>
  <c r="T27" i="8"/>
  <c r="T25" i="8"/>
  <c r="T22" i="8"/>
  <c r="T19" i="8"/>
  <c r="S19" i="8"/>
  <c r="O19" i="8"/>
  <c r="K19" i="8"/>
  <c r="G19" i="8"/>
  <c r="T16" i="8"/>
  <c r="T14" i="8"/>
  <c r="S14" i="8"/>
  <c r="M14" i="8"/>
  <c r="H14" i="8"/>
  <c r="T12" i="8"/>
  <c r="S12" i="8"/>
  <c r="M12" i="8"/>
  <c r="H12" i="8"/>
  <c r="S157" i="17"/>
  <c r="T156" i="17"/>
  <c r="T155" i="17"/>
  <c r="T154" i="17"/>
  <c r="T153" i="17"/>
  <c r="T151" i="17"/>
  <c r="T150" i="17"/>
  <c r="T148" i="17"/>
  <c r="T147" i="17"/>
  <c r="T146" i="17"/>
  <c r="T145" i="17"/>
  <c r="T144" i="17"/>
  <c r="T143" i="17"/>
  <c r="T142" i="17"/>
  <c r="T141" i="17"/>
  <c r="T140" i="17"/>
  <c r="T138" i="17"/>
  <c r="T137" i="17"/>
  <c r="T136" i="17"/>
  <c r="T135" i="17"/>
  <c r="T134" i="17"/>
  <c r="T130" i="17"/>
  <c r="T129" i="17"/>
  <c r="T128" i="17"/>
  <c r="T127" i="17"/>
  <c r="S127" i="17"/>
  <c r="R127" i="17"/>
  <c r="Q127" i="17"/>
  <c r="P127" i="17"/>
  <c r="T121" i="17"/>
  <c r="T120" i="17"/>
  <c r="T117" i="17"/>
  <c r="T116" i="17"/>
  <c r="T115" i="17"/>
  <c r="T114" i="17"/>
  <c r="T113" i="17"/>
  <c r="T112" i="17"/>
  <c r="T111" i="17"/>
  <c r="T110" i="17"/>
  <c r="T109" i="17"/>
  <c r="T108" i="17"/>
  <c r="T107" i="17"/>
  <c r="T106" i="17"/>
  <c r="T105" i="17"/>
  <c r="T104" i="17"/>
  <c r="T103" i="17"/>
  <c r="T102" i="17"/>
  <c r="T101" i="17"/>
  <c r="T100" i="17"/>
  <c r="T98" i="17"/>
  <c r="T97" i="17"/>
  <c r="T96" i="17"/>
  <c r="T94" i="17"/>
  <c r="T93" i="17"/>
  <c r="T92" i="17"/>
  <c r="T91" i="17"/>
  <c r="T90" i="17"/>
  <c r="T89" i="17"/>
  <c r="T88" i="17"/>
  <c r="T87" i="17"/>
  <c r="T86" i="17"/>
  <c r="T85" i="17"/>
  <c r="T84" i="17"/>
  <c r="T83" i="17"/>
  <c r="T82" i="17"/>
  <c r="T81" i="17"/>
  <c r="T80" i="17"/>
  <c r="T79" i="17"/>
  <c r="T78" i="17"/>
  <c r="T77" i="17"/>
  <c r="T74" i="17"/>
  <c r="T73" i="17"/>
  <c r="T72" i="17"/>
  <c r="T71" i="17"/>
  <c r="T70" i="17"/>
  <c r="T69" i="17"/>
  <c r="T68" i="17"/>
  <c r="T67" i="17"/>
  <c r="T66" i="17"/>
  <c r="T65" i="17"/>
  <c r="T64" i="17"/>
  <c r="T63" i="17"/>
  <c r="T62" i="17"/>
  <c r="T61" i="17"/>
  <c r="T60" i="17"/>
  <c r="T59" i="17"/>
  <c r="T58" i="17"/>
  <c r="T57" i="17"/>
  <c r="T56" i="17"/>
  <c r="T55" i="17"/>
  <c r="T54" i="17"/>
  <c r="T53" i="17"/>
  <c r="T52" i="17"/>
  <c r="T51" i="17"/>
  <c r="T50" i="17"/>
  <c r="T49" i="17"/>
  <c r="T48" i="17"/>
  <c r="T47" i="17"/>
  <c r="T46" i="17"/>
  <c r="T45" i="17"/>
  <c r="T44" i="17"/>
  <c r="T43" i="17"/>
  <c r="T42" i="17"/>
  <c r="T41" i="17"/>
  <c r="T40" i="17"/>
  <c r="T39" i="17"/>
  <c r="T38" i="17"/>
  <c r="T35" i="17"/>
  <c r="T34" i="17"/>
  <c r="T31" i="17"/>
  <c r="T29" i="17"/>
  <c r="T27" i="17"/>
  <c r="T25" i="17"/>
  <c r="T22" i="17"/>
  <c r="T19" i="17"/>
  <c r="S19" i="17"/>
  <c r="O19" i="17"/>
  <c r="K19" i="17"/>
  <c r="G19" i="17"/>
  <c r="T16" i="17"/>
  <c r="T14" i="17"/>
  <c r="S14" i="17"/>
  <c r="M14" i="17"/>
  <c r="H14" i="17"/>
  <c r="T12" i="17"/>
  <c r="S12" i="17"/>
  <c r="M12" i="17"/>
  <c r="H12" i="17"/>
  <c r="S157" i="7"/>
  <c r="T156" i="7"/>
  <c r="T155" i="7"/>
  <c r="T154" i="7"/>
  <c r="T153" i="7"/>
  <c r="T151" i="7"/>
  <c r="T150" i="7"/>
  <c r="T148" i="7"/>
  <c r="T147" i="7"/>
  <c r="T146" i="7"/>
  <c r="T145" i="7"/>
  <c r="T144" i="7"/>
  <c r="T143" i="7"/>
  <c r="T142" i="7"/>
  <c r="T141" i="7"/>
  <c r="T140" i="7"/>
  <c r="T138" i="7"/>
  <c r="T137" i="7"/>
  <c r="T136" i="7"/>
  <c r="T135" i="7"/>
  <c r="T134" i="7"/>
  <c r="T130" i="7"/>
  <c r="T129" i="7"/>
  <c r="T128" i="7"/>
  <c r="T127" i="7"/>
  <c r="S127" i="7"/>
  <c r="R127" i="7"/>
  <c r="Q127" i="7"/>
  <c r="P127" i="7"/>
  <c r="T121" i="7"/>
  <c r="T120" i="7"/>
  <c r="T117" i="7"/>
  <c r="T116" i="7"/>
  <c r="T115" i="7"/>
  <c r="T114" i="7"/>
  <c r="T113" i="7"/>
  <c r="T112" i="7"/>
  <c r="T111" i="7"/>
  <c r="T110" i="7"/>
  <c r="T109" i="7"/>
  <c r="T108" i="7"/>
  <c r="T107" i="7"/>
  <c r="T106" i="7"/>
  <c r="T105" i="7"/>
  <c r="T104" i="7"/>
  <c r="T103" i="7"/>
  <c r="T102" i="7"/>
  <c r="T101" i="7"/>
  <c r="T100" i="7"/>
  <c r="T98" i="7"/>
  <c r="T97" i="7"/>
  <c r="T96" i="7"/>
  <c r="T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5" i="7"/>
  <c r="T34" i="7"/>
  <c r="T31" i="7"/>
  <c r="T29" i="7"/>
  <c r="T27" i="7"/>
  <c r="T25" i="7"/>
  <c r="T22" i="7"/>
  <c r="T19" i="7"/>
  <c r="S19" i="7"/>
  <c r="O19" i="7"/>
  <c r="K19" i="7"/>
  <c r="G19" i="7"/>
  <c r="T16" i="7"/>
  <c r="T14" i="7"/>
  <c r="S14" i="7"/>
  <c r="M14" i="7"/>
  <c r="H14" i="7"/>
  <c r="T12" i="7"/>
  <c r="S12" i="7"/>
  <c r="M12" i="7"/>
  <c r="H12" i="7"/>
  <c r="S157" i="6"/>
  <c r="T156" i="6"/>
  <c r="T155" i="6"/>
  <c r="T154" i="6"/>
  <c r="T153" i="6"/>
  <c r="T151" i="6"/>
  <c r="T150" i="6"/>
  <c r="T148" i="6"/>
  <c r="T147" i="6"/>
  <c r="T146" i="6"/>
  <c r="T145" i="6"/>
  <c r="T144" i="6"/>
  <c r="T143" i="6"/>
  <c r="T142" i="6"/>
  <c r="T141" i="6"/>
  <c r="T140" i="6"/>
  <c r="T138" i="6"/>
  <c r="T137" i="6"/>
  <c r="T136" i="6"/>
  <c r="T135" i="6"/>
  <c r="T134" i="6"/>
  <c r="T130" i="6"/>
  <c r="T129" i="6"/>
  <c r="T128" i="6"/>
  <c r="T127" i="6"/>
  <c r="S127" i="6"/>
  <c r="R127" i="6"/>
  <c r="Q127" i="6"/>
  <c r="P127" i="6"/>
  <c r="T121" i="6"/>
  <c r="T120" i="6"/>
  <c r="T117" i="6"/>
  <c r="T116" i="6"/>
  <c r="T115" i="6"/>
  <c r="T114" i="6"/>
  <c r="T113" i="6"/>
  <c r="T112" i="6"/>
  <c r="T111" i="6"/>
  <c r="T110" i="6"/>
  <c r="T109" i="6"/>
  <c r="T108" i="6"/>
  <c r="T107" i="6"/>
  <c r="T106" i="6"/>
  <c r="T105" i="6"/>
  <c r="T104" i="6"/>
  <c r="T103" i="6"/>
  <c r="T102" i="6"/>
  <c r="T101" i="6"/>
  <c r="T100" i="6"/>
  <c r="T98" i="6"/>
  <c r="T97" i="6"/>
  <c r="T96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5" i="6"/>
  <c r="T34" i="6"/>
  <c r="T31" i="6"/>
  <c r="T29" i="6"/>
  <c r="T27" i="6"/>
  <c r="T25" i="6"/>
  <c r="T22" i="6"/>
  <c r="T19" i="6"/>
  <c r="S19" i="6"/>
  <c r="O19" i="6"/>
  <c r="K19" i="6"/>
  <c r="G19" i="6"/>
  <c r="T16" i="6"/>
  <c r="T14" i="6"/>
  <c r="S14" i="6"/>
  <c r="M14" i="6"/>
  <c r="H14" i="6"/>
  <c r="T12" i="6"/>
  <c r="S12" i="6"/>
  <c r="M12" i="6"/>
  <c r="H12" i="6"/>
  <c r="S157" i="5"/>
  <c r="T156" i="5"/>
  <c r="T155" i="5"/>
  <c r="T154" i="5"/>
  <c r="T153" i="5"/>
  <c r="T151" i="5"/>
  <c r="T150" i="5"/>
  <c r="T148" i="5"/>
  <c r="T147" i="5"/>
  <c r="T146" i="5"/>
  <c r="T145" i="5"/>
  <c r="T144" i="5"/>
  <c r="T143" i="5"/>
  <c r="T142" i="5"/>
  <c r="T141" i="5"/>
  <c r="T140" i="5"/>
  <c r="T138" i="5"/>
  <c r="T137" i="5"/>
  <c r="T136" i="5"/>
  <c r="T135" i="5"/>
  <c r="T134" i="5"/>
  <c r="T130" i="5"/>
  <c r="T129" i="5"/>
  <c r="T128" i="5"/>
  <c r="T127" i="5"/>
  <c r="S127" i="5"/>
  <c r="R127" i="5"/>
  <c r="Q127" i="5"/>
  <c r="P127" i="5"/>
  <c r="T121" i="5"/>
  <c r="T120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8" i="5"/>
  <c r="T97" i="5"/>
  <c r="T96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5" i="5"/>
  <c r="T34" i="5"/>
  <c r="T31" i="5"/>
  <c r="T29" i="5"/>
  <c r="T27" i="5"/>
  <c r="T25" i="5"/>
  <c r="T22" i="5"/>
  <c r="T19" i="5"/>
  <c r="S19" i="5"/>
  <c r="O19" i="5"/>
  <c r="K19" i="5"/>
  <c r="G19" i="5"/>
  <c r="T16" i="5"/>
  <c r="T14" i="5"/>
  <c r="S14" i="5"/>
  <c r="M14" i="5"/>
  <c r="H14" i="5"/>
  <c r="T12" i="5"/>
  <c r="S12" i="5"/>
  <c r="M12" i="5"/>
  <c r="H12" i="5"/>
  <c r="Y210" i="25"/>
  <c r="Y208" i="25"/>
  <c r="Y207" i="25"/>
  <c r="V207" i="25"/>
  <c r="Q207" i="25"/>
  <c r="L207" i="25"/>
  <c r="G207" i="25"/>
  <c r="Y206" i="25"/>
  <c r="V206" i="25"/>
  <c r="Q206" i="25"/>
  <c r="L206" i="25"/>
  <c r="G206" i="25"/>
  <c r="Y205" i="25"/>
  <c r="V205" i="25"/>
  <c r="Q205" i="25"/>
  <c r="L205" i="25"/>
  <c r="G205" i="25"/>
  <c r="Y204" i="25"/>
  <c r="V204" i="25"/>
  <c r="Q204" i="25"/>
  <c r="L204" i="25"/>
  <c r="G204" i="25"/>
  <c r="Y203" i="25"/>
  <c r="V203" i="25"/>
  <c r="Q203" i="25"/>
  <c r="L203" i="25"/>
  <c r="G203" i="25"/>
  <c r="Y202" i="25"/>
  <c r="V202" i="25"/>
  <c r="Q202" i="25"/>
  <c r="L202" i="25"/>
  <c r="G202" i="25"/>
  <c r="Y201" i="25"/>
  <c r="V201" i="25"/>
  <c r="Q201" i="25"/>
  <c r="L201" i="25"/>
  <c r="G201" i="25"/>
  <c r="Y200" i="25"/>
  <c r="V200" i="25"/>
  <c r="Q200" i="25"/>
  <c r="L200" i="25"/>
  <c r="G200" i="25"/>
  <c r="Y199" i="25"/>
  <c r="V199" i="25"/>
  <c r="Q199" i="25"/>
  <c r="L199" i="25"/>
  <c r="G199" i="25"/>
  <c r="Y198" i="25"/>
  <c r="V198" i="25"/>
  <c r="Q198" i="25"/>
  <c r="L198" i="25"/>
  <c r="G198" i="25"/>
  <c r="Y197" i="25"/>
  <c r="V197" i="25"/>
  <c r="Q197" i="25"/>
  <c r="L197" i="25"/>
  <c r="G197" i="25"/>
  <c r="Y196" i="25"/>
  <c r="V196" i="25"/>
  <c r="Q196" i="25"/>
  <c r="L196" i="25"/>
  <c r="G196" i="25"/>
  <c r="Y195" i="25"/>
  <c r="V195" i="25"/>
  <c r="Q195" i="25"/>
  <c r="L195" i="25"/>
  <c r="G195" i="25"/>
  <c r="Y194" i="25"/>
  <c r="V194" i="25"/>
  <c r="Q194" i="25"/>
  <c r="L194" i="25"/>
  <c r="G194" i="25"/>
  <c r="Y193" i="25"/>
  <c r="V193" i="25"/>
  <c r="L193" i="25"/>
  <c r="G193" i="25"/>
  <c r="Y192" i="25"/>
  <c r="V192" i="25"/>
  <c r="Q192" i="25"/>
  <c r="L192" i="25"/>
  <c r="G192" i="25"/>
  <c r="X186" i="25"/>
  <c r="X185" i="25"/>
  <c r="X184" i="25"/>
  <c r="W183" i="25"/>
  <c r="R183" i="25"/>
  <c r="M183" i="25"/>
  <c r="H183" i="25"/>
  <c r="W182" i="25"/>
  <c r="R182" i="25"/>
  <c r="M182" i="25"/>
  <c r="H182" i="25"/>
  <c r="W181" i="25"/>
  <c r="R181" i="25"/>
  <c r="M181" i="25"/>
  <c r="H181" i="25"/>
  <c r="W180" i="25"/>
  <c r="R180" i="25"/>
  <c r="M180" i="25"/>
  <c r="H180" i="25"/>
  <c r="X179" i="25"/>
  <c r="W179" i="25"/>
  <c r="S179" i="25"/>
  <c r="R179" i="25"/>
  <c r="N179" i="25"/>
  <c r="M179" i="25"/>
  <c r="I179" i="25"/>
  <c r="H179" i="25"/>
  <c r="X176" i="25"/>
  <c r="W175" i="25"/>
  <c r="R175" i="25"/>
  <c r="M175" i="25"/>
  <c r="H175" i="25"/>
  <c r="W174" i="25"/>
  <c r="R174" i="25"/>
  <c r="M174" i="25"/>
  <c r="H174" i="25"/>
  <c r="W173" i="25"/>
  <c r="R173" i="25"/>
  <c r="M173" i="25"/>
  <c r="H173" i="25"/>
  <c r="W172" i="25"/>
  <c r="R172" i="25"/>
  <c r="M172" i="25"/>
  <c r="H172" i="25"/>
  <c r="X171" i="25"/>
  <c r="W171" i="25"/>
  <c r="S171" i="25"/>
  <c r="R171" i="25"/>
  <c r="N171" i="25"/>
  <c r="M171" i="25"/>
  <c r="I171" i="25"/>
  <c r="H171" i="25"/>
  <c r="X168" i="25"/>
  <c r="W167" i="25"/>
  <c r="R167" i="25"/>
  <c r="M167" i="25"/>
  <c r="H167" i="25"/>
  <c r="X164" i="25"/>
  <c r="W163" i="25"/>
  <c r="R163" i="25"/>
  <c r="M163" i="25"/>
  <c r="H163" i="25"/>
  <c r="X160" i="25"/>
  <c r="W159" i="25"/>
  <c r="R159" i="25"/>
  <c r="M159" i="25"/>
  <c r="H159" i="25"/>
  <c r="W158" i="25"/>
  <c r="R158" i="25"/>
  <c r="M158" i="25"/>
  <c r="H158" i="25"/>
  <c r="W157" i="25"/>
  <c r="R157" i="25"/>
  <c r="M157" i="25"/>
  <c r="H157" i="25"/>
  <c r="W156" i="25"/>
  <c r="R156" i="25"/>
  <c r="M156" i="25"/>
  <c r="H156" i="25"/>
  <c r="W155" i="25"/>
  <c r="R155" i="25"/>
  <c r="M155" i="25"/>
  <c r="H155" i="25"/>
  <c r="W154" i="25"/>
  <c r="R154" i="25"/>
  <c r="M154" i="25"/>
  <c r="H154" i="25"/>
  <c r="X153" i="25"/>
  <c r="W153" i="25"/>
  <c r="S153" i="25"/>
  <c r="R153" i="25"/>
  <c r="N153" i="25"/>
  <c r="M153" i="25"/>
  <c r="I153" i="25"/>
  <c r="H153" i="25"/>
  <c r="X149" i="25"/>
  <c r="W148" i="25"/>
  <c r="R148" i="25"/>
  <c r="M148" i="25"/>
  <c r="H148" i="25"/>
  <c r="W147" i="25"/>
  <c r="R147" i="25"/>
  <c r="M147" i="25"/>
  <c r="H147" i="25"/>
  <c r="W146" i="25"/>
  <c r="R146" i="25"/>
  <c r="M146" i="25"/>
  <c r="H146" i="25"/>
  <c r="W145" i="25"/>
  <c r="R145" i="25"/>
  <c r="M145" i="25"/>
  <c r="H145" i="25"/>
  <c r="X144" i="25"/>
  <c r="W144" i="25"/>
  <c r="S144" i="25"/>
  <c r="R144" i="25"/>
  <c r="N144" i="25"/>
  <c r="M144" i="25"/>
  <c r="I144" i="25"/>
  <c r="H144" i="25"/>
  <c r="X139" i="25"/>
  <c r="X138" i="25"/>
  <c r="W137" i="25"/>
  <c r="R137" i="25"/>
  <c r="M137" i="25"/>
  <c r="H137" i="25"/>
  <c r="W136" i="25"/>
  <c r="R136" i="25"/>
  <c r="M136" i="25"/>
  <c r="H136" i="25"/>
  <c r="W135" i="25"/>
  <c r="R135" i="25"/>
  <c r="M135" i="25"/>
  <c r="H135" i="25"/>
  <c r="W134" i="25"/>
  <c r="R134" i="25"/>
  <c r="M134" i="25"/>
  <c r="H134" i="25"/>
  <c r="X133" i="25"/>
  <c r="W133" i="25"/>
  <c r="S133" i="25"/>
  <c r="R133" i="25"/>
  <c r="N133" i="25"/>
  <c r="M133" i="25"/>
  <c r="I133" i="25"/>
  <c r="H133" i="25"/>
  <c r="X130" i="25"/>
  <c r="W129" i="25"/>
  <c r="M129" i="25"/>
  <c r="H129" i="25"/>
  <c r="W128" i="25"/>
  <c r="R128" i="25"/>
  <c r="M128" i="25"/>
  <c r="H128" i="25"/>
  <c r="W127" i="25"/>
  <c r="R127" i="25"/>
  <c r="M127" i="25"/>
  <c r="H127" i="25"/>
  <c r="W126" i="25"/>
  <c r="R126" i="25"/>
  <c r="M126" i="25"/>
  <c r="H126" i="25"/>
  <c r="X125" i="25"/>
  <c r="W125" i="25"/>
  <c r="S125" i="25"/>
  <c r="R125" i="25"/>
  <c r="N125" i="25"/>
  <c r="M125" i="25"/>
  <c r="I125" i="25"/>
  <c r="H125" i="25"/>
  <c r="X122" i="25"/>
  <c r="W121" i="25"/>
  <c r="R121" i="25"/>
  <c r="M121" i="25"/>
  <c r="H121" i="25"/>
  <c r="W120" i="25"/>
  <c r="R120" i="25"/>
  <c r="M120" i="25"/>
  <c r="H120" i="25"/>
  <c r="W119" i="25"/>
  <c r="R119" i="25"/>
  <c r="M119" i="25"/>
  <c r="H119" i="25"/>
  <c r="W118" i="25"/>
  <c r="R118" i="25"/>
  <c r="M118" i="25"/>
  <c r="H118" i="25"/>
  <c r="X117" i="25"/>
  <c r="W117" i="25"/>
  <c r="S117" i="25"/>
  <c r="R117" i="25"/>
  <c r="N117" i="25"/>
  <c r="M117" i="25"/>
  <c r="I117" i="25"/>
  <c r="H117" i="25"/>
  <c r="X114" i="25"/>
  <c r="W113" i="25"/>
  <c r="R113" i="25"/>
  <c r="M113" i="25"/>
  <c r="H113" i="25"/>
  <c r="W112" i="25"/>
  <c r="R112" i="25"/>
  <c r="M112" i="25"/>
  <c r="H112" i="25"/>
  <c r="W111" i="25"/>
  <c r="R111" i="25"/>
  <c r="M111" i="25"/>
  <c r="H111" i="25"/>
  <c r="W110" i="25"/>
  <c r="R110" i="25"/>
  <c r="M110" i="25"/>
  <c r="H110" i="25"/>
  <c r="X109" i="25"/>
  <c r="W109" i="25"/>
  <c r="S109" i="25"/>
  <c r="R109" i="25"/>
  <c r="N109" i="25"/>
  <c r="M109" i="25"/>
  <c r="I109" i="25"/>
  <c r="H109" i="25"/>
  <c r="X106" i="25"/>
  <c r="W105" i="25"/>
  <c r="R105" i="25"/>
  <c r="M105" i="25"/>
  <c r="H105" i="25"/>
  <c r="W104" i="25"/>
  <c r="R104" i="25"/>
  <c r="M104" i="25"/>
  <c r="H104" i="25"/>
  <c r="W103" i="25"/>
  <c r="R103" i="25"/>
  <c r="M103" i="25"/>
  <c r="H103" i="25"/>
  <c r="W102" i="25"/>
  <c r="R102" i="25"/>
  <c r="M102" i="25"/>
  <c r="H102" i="25"/>
  <c r="X101" i="25"/>
  <c r="W101" i="25"/>
  <c r="S101" i="25"/>
  <c r="R101" i="25"/>
  <c r="N101" i="25"/>
  <c r="M101" i="25"/>
  <c r="I101" i="25"/>
  <c r="H101" i="25"/>
  <c r="X96" i="25"/>
  <c r="X95" i="25"/>
  <c r="W94" i="25"/>
  <c r="R94" i="25"/>
  <c r="M94" i="25"/>
  <c r="H94" i="25"/>
  <c r="W93" i="25"/>
  <c r="R93" i="25"/>
  <c r="M93" i="25"/>
  <c r="H93" i="25"/>
  <c r="W92" i="25"/>
  <c r="R92" i="25"/>
  <c r="M92" i="25"/>
  <c r="H92" i="25"/>
  <c r="W91" i="25"/>
  <c r="R91" i="25"/>
  <c r="H91" i="25"/>
  <c r="W90" i="25"/>
  <c r="R90" i="25"/>
  <c r="M90" i="25"/>
  <c r="H90" i="25"/>
  <c r="X89" i="25"/>
  <c r="W89" i="25"/>
  <c r="S89" i="25"/>
  <c r="R89" i="25"/>
  <c r="N89" i="25"/>
  <c r="M89" i="25"/>
  <c r="I89" i="25"/>
  <c r="H89" i="25"/>
  <c r="X86" i="25"/>
  <c r="W85" i="25"/>
  <c r="M85" i="25"/>
  <c r="H85" i="25"/>
  <c r="W84" i="25"/>
  <c r="R84" i="25"/>
  <c r="M84" i="25"/>
  <c r="H84" i="25"/>
  <c r="W83" i="25"/>
  <c r="R83" i="25"/>
  <c r="M83" i="25"/>
  <c r="H83" i="25"/>
  <c r="W82" i="25"/>
  <c r="R82" i="25"/>
  <c r="M82" i="25"/>
  <c r="H82" i="25"/>
  <c r="W81" i="25"/>
  <c r="R81" i="25"/>
  <c r="M81" i="25"/>
  <c r="H81" i="25"/>
  <c r="X80" i="25"/>
  <c r="W80" i="25"/>
  <c r="S80" i="25"/>
  <c r="R80" i="25"/>
  <c r="N80" i="25"/>
  <c r="M80" i="25"/>
  <c r="I80" i="25"/>
  <c r="H80" i="25"/>
  <c r="X77" i="25"/>
  <c r="W76" i="25"/>
  <c r="R76" i="25"/>
  <c r="M76" i="25"/>
  <c r="H76" i="25"/>
  <c r="W75" i="25"/>
  <c r="R75" i="25"/>
  <c r="M75" i="25"/>
  <c r="H75" i="25"/>
  <c r="W74" i="25"/>
  <c r="R74" i="25"/>
  <c r="M74" i="25"/>
  <c r="H74" i="25"/>
  <c r="W73" i="25"/>
  <c r="R73" i="25"/>
  <c r="M73" i="25"/>
  <c r="H73" i="25"/>
  <c r="W72" i="25"/>
  <c r="R72" i="25"/>
  <c r="M72" i="25"/>
  <c r="H72" i="25"/>
  <c r="X71" i="25"/>
  <c r="W71" i="25"/>
  <c r="S71" i="25"/>
  <c r="R71" i="25"/>
  <c r="M71" i="25"/>
  <c r="I71" i="25"/>
  <c r="H71" i="25"/>
  <c r="X68" i="25"/>
  <c r="W67" i="25"/>
  <c r="R67" i="25"/>
  <c r="M67" i="25"/>
  <c r="H67" i="25"/>
  <c r="W66" i="25"/>
  <c r="R66" i="25"/>
  <c r="M66" i="25"/>
  <c r="H66" i="25"/>
  <c r="W65" i="25"/>
  <c r="R65" i="25"/>
  <c r="M65" i="25"/>
  <c r="H65" i="25"/>
  <c r="W64" i="25"/>
  <c r="R64" i="25"/>
  <c r="M64" i="25"/>
  <c r="H64" i="25"/>
  <c r="W63" i="25"/>
  <c r="R63" i="25"/>
  <c r="M63" i="25"/>
  <c r="H63" i="25"/>
  <c r="X62" i="25"/>
  <c r="W62" i="25"/>
  <c r="S62" i="25"/>
  <c r="R62" i="25"/>
  <c r="N62" i="25"/>
  <c r="M62" i="25"/>
  <c r="I62" i="25"/>
  <c r="H62" i="25"/>
  <c r="X59" i="25"/>
  <c r="W58" i="25"/>
  <c r="R58" i="25"/>
  <c r="M58" i="25"/>
  <c r="H58" i="25"/>
  <c r="W57" i="25"/>
  <c r="R57" i="25"/>
  <c r="M57" i="25"/>
  <c r="H57" i="25"/>
  <c r="W56" i="25"/>
  <c r="R56" i="25"/>
  <c r="M56" i="25"/>
  <c r="H56" i="25"/>
  <c r="W55" i="25"/>
  <c r="R55" i="25"/>
  <c r="M55" i="25"/>
  <c r="H55" i="25"/>
  <c r="W54" i="25"/>
  <c r="R54" i="25"/>
  <c r="M54" i="25"/>
  <c r="H54" i="25"/>
  <c r="X53" i="25"/>
  <c r="W53" i="25"/>
  <c r="S53" i="25"/>
  <c r="R53" i="25"/>
  <c r="N53" i="25"/>
  <c r="M53" i="25"/>
  <c r="I53" i="25"/>
  <c r="H53" i="25"/>
  <c r="X50" i="25"/>
  <c r="W49" i="25"/>
  <c r="R49" i="25"/>
  <c r="M49" i="25"/>
  <c r="H49" i="25"/>
  <c r="W48" i="25"/>
  <c r="R48" i="25"/>
  <c r="M48" i="25"/>
  <c r="H48" i="25"/>
  <c r="W47" i="25"/>
  <c r="R47" i="25"/>
  <c r="M47" i="25"/>
  <c r="H47" i="25"/>
  <c r="W46" i="25"/>
  <c r="R46" i="25"/>
  <c r="M46" i="25"/>
  <c r="H46" i="25"/>
  <c r="W45" i="25"/>
  <c r="R45" i="25"/>
  <c r="M45" i="25"/>
  <c r="H45" i="25"/>
  <c r="X44" i="25"/>
  <c r="W44" i="25"/>
  <c r="S44" i="25"/>
  <c r="R44" i="25"/>
  <c r="N44" i="25"/>
  <c r="M44" i="25"/>
  <c r="I44" i="25"/>
  <c r="H44" i="25"/>
  <c r="Y38" i="25"/>
  <c r="Y37" i="25"/>
  <c r="Y34" i="25"/>
  <c r="Y32" i="25"/>
  <c r="Y30" i="25"/>
  <c r="Y28" i="25"/>
  <c r="Y25" i="25"/>
  <c r="X19" i="25"/>
  <c r="S19" i="25"/>
  <c r="N19" i="25"/>
  <c r="I19" i="25"/>
  <c r="AC16" i="25"/>
  <c r="AB16" i="25"/>
  <c r="AA16" i="25"/>
  <c r="Z16" i="25"/>
  <c r="Y16" i="25"/>
  <c r="W15" i="25"/>
  <c r="R15" i="25"/>
  <c r="M15" i="25"/>
  <c r="H15" i="25"/>
  <c r="W14" i="25"/>
  <c r="R14" i="25"/>
  <c r="M14" i="25"/>
  <c r="H14" i="25"/>
  <c r="W13" i="25"/>
  <c r="R13" i="25"/>
  <c r="M13" i="25"/>
  <c r="H13" i="25"/>
  <c r="AB12" i="25"/>
  <c r="AA12" i="25"/>
  <c r="Z12" i="25"/>
  <c r="Y12" i="25"/>
  <c r="X12" i="25"/>
  <c r="W12" i="25"/>
  <c r="S12" i="25"/>
  <c r="R12" i="25"/>
  <c r="N12" i="25"/>
  <c r="M12" i="25"/>
  <c r="I12" i="25"/>
  <c r="H12" i="25"/>
  <c r="W11" i="25"/>
  <c r="R11" i="25"/>
  <c r="M11" i="25"/>
  <c r="H11" i="25"/>
  <c r="W10" i="25"/>
  <c r="R10" i="25"/>
  <c r="M10" i="25"/>
  <c r="H10" i="25"/>
  <c r="W9" i="25"/>
  <c r="R9" i="25"/>
  <c r="M9" i="25"/>
  <c r="H9" i="25"/>
  <c r="AB8" i="25"/>
  <c r="AA8" i="25"/>
  <c r="Z8" i="25"/>
  <c r="Y8" i="25"/>
  <c r="X8" i="25"/>
  <c r="W8" i="25"/>
  <c r="S8" i="25"/>
  <c r="R8" i="25"/>
  <c r="N8" i="25"/>
  <c r="M8" i="25"/>
  <c r="I8" i="25"/>
  <c r="H8" i="25"/>
  <c r="T88" i="15" l="1"/>
  <c r="T151" i="15"/>
  <c r="T93" i="15"/>
  <c r="T44" i="15"/>
  <c r="T74" i="15" s="1"/>
  <c r="T104" i="15"/>
  <c r="T117" i="15" s="1"/>
  <c r="T98" i="15" l="1"/>
  <c r="T130" i="15" s="1"/>
  <c r="A1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<sst xmlns="http://schemas.openxmlformats.org/spreadsheetml/2006/main" count="4446" uniqueCount="300">
  <si>
    <t>"Махатма Ганди атындағы №92 мамандандырылған лицей" КММ</t>
  </si>
  <si>
    <t>Мұғалімнің KPI    №1</t>
  </si>
  <si>
    <t xml:space="preserve">                            Бағалау рейтингі 3 бағыттан тұрады:
 І. КПИ- ож оқу жұмысы (3 критерий)
                               ІІ. КПИ- ғылыми-әдістемелік  жұмысы (6 критерий)
        ІІІ. КПИ тж - тәрбие  жұмысы 1 критерий)</t>
  </si>
  <si>
    <t>№</t>
  </si>
  <si>
    <t xml:space="preserve">  І. KPI ож  Оқу  жұмысының  (3 критерий)</t>
  </si>
  <si>
    <t xml:space="preserve"> К1     Білім  алушының  білім жетістік динамикасы</t>
  </si>
  <si>
    <t>Тоқсан</t>
  </si>
  <si>
    <t>Балы</t>
  </si>
  <si>
    <t>I</t>
  </si>
  <si>
    <t>II</t>
  </si>
  <si>
    <t>III</t>
  </si>
  <si>
    <t>IV</t>
  </si>
  <si>
    <t>Жалпы</t>
  </si>
  <si>
    <t>Бағалау түрі</t>
  </si>
  <si>
    <t>Дескрипторлар</t>
  </si>
  <si>
    <t>Сыныптар</t>
  </si>
  <si>
    <t>Орташа</t>
  </si>
  <si>
    <t>Қорытынды</t>
  </si>
  <si>
    <t>ОІ</t>
  </si>
  <si>
    <t>Тоқсандық жиынтық бағалау</t>
  </si>
  <si>
    <t>Қорытынды/5*25</t>
  </si>
  <si>
    <t>7 Ә</t>
  </si>
  <si>
    <t>8 А</t>
  </si>
  <si>
    <t>10 Ә</t>
  </si>
  <si>
    <t>11 Г</t>
  </si>
  <si>
    <t>ОІІ</t>
  </si>
  <si>
    <t>Тоқсандық баға</t>
  </si>
  <si>
    <t>КІ</t>
  </si>
  <si>
    <t>Жалпы балы</t>
  </si>
  <si>
    <t>K1=OI+OII</t>
  </si>
  <si>
    <t>K2   Қазіргі заманғы білім беру технологияларын, ЖИ-ді тиімді қолдануы</t>
  </si>
  <si>
    <t>І тоқсан</t>
  </si>
  <si>
    <t>ІІ тоқсан</t>
  </si>
  <si>
    <t>ІІІ тоқсан</t>
  </si>
  <si>
    <t>ІV тоқсан</t>
  </si>
  <si>
    <t>Өзін-өзі 
бағалауы</t>
  </si>
  <si>
    <t>Директор бағалауы</t>
  </si>
  <si>
    <t>Әкімшілік бағалауы</t>
  </si>
  <si>
    <t>БЖ бағалауы</t>
  </si>
  <si>
    <t>Қортынды</t>
  </si>
  <si>
    <t>О1</t>
  </si>
  <si>
    <t>Жаңа технологияларды, ЖИ-ді тиімді пайдалануы (Критериалды бағалау стратегиялар, сыни тұрғыдан ойлау, модульдік технология және т.б. технологиялар)</t>
  </si>
  <si>
    <t>0 б қолданбайды</t>
  </si>
  <si>
    <t>1 б тек үй тапсырмасында қолданылады</t>
  </si>
  <si>
    <t>2 б жаңа сабақты түсіндіргенде қолданады</t>
  </si>
  <si>
    <t>3 б сабақтағы тапсырмалар кезінде қолданылады</t>
  </si>
  <si>
    <t>4 б бағалау кезінде қолданады</t>
  </si>
  <si>
    <t>5 б сабақ бойы қолданылады</t>
  </si>
  <si>
    <t>K2=OI</t>
  </si>
  <si>
    <r>
      <rPr>
        <b/>
        <sz val="9"/>
        <color rgb="FFFF0000"/>
        <rFont val="Times New Roman"/>
        <charset val="204"/>
      </rPr>
      <t xml:space="preserve">K3   </t>
    </r>
    <r>
      <rPr>
        <b/>
        <sz val="9"/>
        <color rgb="FFC00000"/>
        <rFont val="Times New Roman"/>
        <charset val="204"/>
      </rPr>
      <t xml:space="preserve"> Педагогтың функционалдық міндеттерін  нәтижелі орындауы</t>
    </r>
  </si>
  <si>
    <t>OI</t>
  </si>
  <si>
    <t>Kundelik.kz</t>
  </si>
  <si>
    <t xml:space="preserve">10б-ескертусіз </t>
  </si>
  <si>
    <t>(-1)б - әр ескертуге</t>
  </si>
  <si>
    <t>OII</t>
  </si>
  <si>
    <t xml:space="preserve">"Мұғалімнің әдеп кодексінің" орындалуы </t>
  </si>
  <si>
    <t>10б-ескертусіз</t>
  </si>
  <si>
    <t>OIІІ</t>
  </si>
  <si>
    <t>Сабақтағы жарақаттану (травматизм)</t>
  </si>
  <si>
    <t xml:space="preserve">10б-жарақатсыз </t>
  </si>
  <si>
    <t xml:space="preserve">(-5б) -әр жарақатқа  </t>
  </si>
  <si>
    <t>ОІV</t>
  </si>
  <si>
    <t>Ата-аналар тарапынан шағымдану</t>
  </si>
  <si>
    <t>10б- шағымсыз</t>
  </si>
  <si>
    <t>-1- әр ауызшы шағым</t>
  </si>
  <si>
    <t>- 5 -әр жазбаша шағым</t>
  </si>
  <si>
    <t>K3=OI+OII+OIII+OIV</t>
  </si>
  <si>
    <t>ІRожн=K1+K2+K3</t>
  </si>
  <si>
    <t>ІІ. Rғжн            Ғылыми-әдістемелік жұмысы (3 критерий)</t>
  </si>
  <si>
    <t>К1    -  Пәні бойынша және сабақтан тыс жұмыстарының нәтижесі</t>
  </si>
  <si>
    <t>Саны</t>
  </si>
  <si>
    <t>Ғ1</t>
  </si>
  <si>
    <t>Жалпы білім беретін мектептер бойынша олимпиадалар (мектепішілік, аудандық, 2-11 сынып оқушыларына арналған Республикалық олимпиадалар) 2011 жылғы 7 желтоқсандағы №514 бұйрығына 1-қосымша</t>
  </si>
  <si>
    <t>1 б - мектепішілік</t>
  </si>
  <si>
    <t>5 б - аудандық</t>
  </si>
  <si>
    <t>10 б - қалалық</t>
  </si>
  <si>
    <t>100 б -республикалық</t>
  </si>
  <si>
    <t>300 б - халықаралық</t>
  </si>
  <si>
    <t>1 б әр қатысқан бала үшін</t>
  </si>
  <si>
    <t>Ғ2</t>
  </si>
  <si>
    <t>Мамандандырылған олимпиадалар мен ғылыми жобалар
(2011 жылғы 7 желтоқсандағы №514 бұйрығына 1-қосымша)</t>
  </si>
  <si>
    <t>Ғ3</t>
  </si>
  <si>
    <t>Жоғарғы оқу орындары олимпиадалары
(2011 жылғы 7 желтоқсандағы №514 бұйрығына 1-қосымша)</t>
  </si>
  <si>
    <t>Ғ4</t>
  </si>
  <si>
    <t>Түрлі жарыстар
 Шығармашылық байқаулар (шығарма, эссе, көркемсөз,
эстрадалық  вокал, аспапта орындау, ансамбльде орындау)
 Интеллектуалды олимпадалар (ақбота, кенгуру математика для всех, кенгуру- лингвист, русский медвежонок, золотое руно, пони  және т.б.)</t>
  </si>
  <si>
    <t>20 б -республикалық</t>
  </si>
  <si>
    <t>30 б - халықаралық</t>
  </si>
  <si>
    <t>Ғ5</t>
  </si>
  <si>
    <t>Пән бойынша сыныптан тыс іс-шаралар өткізу 
(түрлі жарыстар, 5-тер сайысы, конференциялар, дебат, кездесулер, турнир, КВН, фестиваль, дөңгелек үстелдер және т.б. )</t>
  </si>
  <si>
    <t>Ғ6</t>
  </si>
  <si>
    <t xml:space="preserve">КПИ (тілдік, театральдік, робототехника, ақпараттық мәд негіздері, шахмат, Қазақстан құқығы, ежелгі көшпенділер мәдениеті, ғарышқа ұшу, Абайтану, Яссауитану, бабалар асыл қазына, батыр бабалар ерлігі,  ежелгі көшпенділер мәдениеті және т.б.) </t>
  </si>
  <si>
    <t>К1=Ғ1+F2+F3+F4+F5+Ғ6</t>
  </si>
  <si>
    <t>К2   Кәсіби-әдістемелік  іс-әрекетінің  нәтижесі</t>
  </si>
  <si>
    <t xml:space="preserve"> Ашық-көрнекі сабақтың сапасы,
(жоспары, көрнекілігі, жаңашылдығы, оқушылардың қабылдауы және т.б.) </t>
  </si>
  <si>
    <t>10 б - мектепішілік</t>
  </si>
  <si>
    <t>20 б - аудандық</t>
  </si>
  <si>
    <t>30 б - қалалық</t>
  </si>
  <si>
    <t>40 б -республикалық</t>
  </si>
  <si>
    <t>50 б - халықаралық</t>
  </si>
  <si>
    <t xml:space="preserve"> Мұғалімнің әдістемелік іс-тәжірибесімен бөлісуі
1. Панорамалық және ықшам сабақтың сапасы
 (жаңашылдығы, ерекшелігі, жеткізу мәнері және т.б.)
2.Семинар, коучинг, конференцияларда шығармашылық
жұмыстарын көрсету
3.Педкеңесте, әдістемелік кеңесте шығармашылық 
жұмыстарын  жариялау</t>
  </si>
  <si>
    <t>Іс- тәжірибесін тарату (пәні және сыныбы пәні бойынша)</t>
  </si>
  <si>
    <t>Баспа беттерінде, бұқаралық ақпарат құралдарында
іс-тәжірибелерінің жарық көруі (газет, журналдар, теледидар, сайт)</t>
  </si>
  <si>
    <t xml:space="preserve">Авторлық әдістемелік нұсқаулықтарының шығуы </t>
  </si>
  <si>
    <t>К2=Ғ1+F2+F3+F4+F5</t>
  </si>
  <si>
    <t>К3   Мұғалімнің өзін-өзі жетілдіру</t>
  </si>
  <si>
    <t xml:space="preserve"> Марапаттар</t>
  </si>
  <si>
    <t>ж</t>
  </si>
  <si>
    <t>Ғылыми дәрежесі және категория</t>
  </si>
  <si>
    <t>10 б - педагог-модератор</t>
  </si>
  <si>
    <t>20 б -педагог-сарапшы</t>
  </si>
  <si>
    <t>30 б - педагог-зерттеуші</t>
  </si>
  <si>
    <t>40 б -педагог-шебер</t>
  </si>
  <si>
    <t>50 б - PhD</t>
  </si>
  <si>
    <t>25 б - магистр</t>
  </si>
  <si>
    <t>50 б - ғылым кандидаты</t>
  </si>
  <si>
    <t>Білім жетілдіру курстары</t>
  </si>
  <si>
    <t xml:space="preserve">10 б </t>
  </si>
  <si>
    <t>Мұғалімнің өзара сабаққа қатысуы</t>
  </si>
  <si>
    <t xml:space="preserve">3 б </t>
  </si>
  <si>
    <t xml:space="preserve"> Кәсіптік байқауға қатысуы</t>
  </si>
  <si>
    <t xml:space="preserve">  Қоғамдық  жұмыстарға  атсалысуы, нәтижелілігі  (кафедра, ӘБ, кәсіподақ, сынып жетекшіліктің болуы,  волонтер   және т.б.)</t>
  </si>
  <si>
    <t>К3=Ғ1+Ғ2+Ғ3+Ғ4+Ғ5+Ғ6</t>
  </si>
  <si>
    <t>КПИ=К1+К2+К3</t>
  </si>
  <si>
    <t>Rтжн      ІІІ. ТЖ (1 критерий)</t>
  </si>
  <si>
    <r>
      <rPr>
        <b/>
        <sz val="9"/>
        <color rgb="FFFF0000"/>
        <rFont val="Times New Roman"/>
        <charset val="204"/>
      </rPr>
      <t xml:space="preserve">К1   </t>
    </r>
    <r>
      <rPr>
        <b/>
        <sz val="9"/>
        <color theme="1"/>
        <rFont val="Times New Roman"/>
        <charset val="204"/>
      </rPr>
      <t xml:space="preserve"> Педагогтың функционалдық міндеттерін  нәтижелі орындауы</t>
    </r>
  </si>
  <si>
    <t xml:space="preserve">Т1 </t>
  </si>
  <si>
    <t>Ашық- көрнекі  сынып сағаттарын өткізу</t>
  </si>
  <si>
    <t>1 балл әр ескертуге азаяды</t>
  </si>
  <si>
    <t>Т2</t>
  </si>
  <si>
    <t>Сыныптан тыс түрлі іс-шаралар ұйымдастыруы (білім мен тәрбие егіз, кездесулер, конференциялар, фестиваль, турнир, викторина, презентация және т.б)</t>
  </si>
  <si>
    <t>Т3</t>
  </si>
  <si>
    <t>Сыныппен мәдени орындарға баруды ұйымдастыру 
(театр, музей, кино)</t>
  </si>
  <si>
    <t>Т4</t>
  </si>
  <si>
    <t>Мектеп іс-шараларына сыныбының (Білім күні, Ұстаздар күні, Жаңа жыл, 8-Наурыз, 22-Наурыз, Соңғы қоңырау)  атсалысуы</t>
  </si>
  <si>
    <t>Т5</t>
  </si>
  <si>
    <t>Оқушыларының мектептегі түрлі ұйымдардың құрамында болуы 
(Жасұлан, Жасқыран, Адал ұрпақ, Өзін-өзі басқару ұйымы)</t>
  </si>
  <si>
    <t>Т6</t>
  </si>
  <si>
    <t>Оқушыларды түрлі қоғамдық жұмыстарға қатыстыру арқылы лидерлік қасиетін ояту (экосақшы, сенбіліктер, кезекшілік  және т.б.)</t>
  </si>
  <si>
    <t>20% дейін</t>
  </si>
  <si>
    <t xml:space="preserve"> 21%- 45% дейін</t>
  </si>
  <si>
    <t>46%- 65% дейін</t>
  </si>
  <si>
    <t xml:space="preserve"> 66%- 100% дейін</t>
  </si>
  <si>
    <t>Т 7</t>
  </si>
  <si>
    <t>Қоғамдық ұйымдармен (РОВД, ІІҰ, психологиялық орталықтар) кездесулер ұйымдастыру</t>
  </si>
  <si>
    <t>Т 8</t>
  </si>
  <si>
    <t xml:space="preserve">Сынып оқушылардың жеке іс қағазының жүргізілуі  </t>
  </si>
  <si>
    <t>1балл әр ескертуге азаяды</t>
  </si>
  <si>
    <t>Т 9</t>
  </si>
  <si>
    <t>Мұғалімнің және сынып жетекшінің  портфолиосының болуы (электронный)</t>
  </si>
  <si>
    <t>Т10</t>
  </si>
  <si>
    <t>Тәрбие бұзушылықтың болмауы, сырт бейнесі, тәртібі, сабақтан кешікпеуі, сабақтан қалмауы</t>
  </si>
  <si>
    <t>KPIтж =Т1+Т2+Т3+Т4+Т5+Т6+Т7+Т8+Т9+Т10</t>
  </si>
  <si>
    <t>Рейтинг = KPI ож+KPI ғж+ KPI тж</t>
  </si>
  <si>
    <t>толтырған мерзімі</t>
  </si>
  <si>
    <t>Мұғалімнің KPI    №_____</t>
  </si>
  <si>
    <t xml:space="preserve">                            Бағалау рейтингі 3 бағыттан тұрады:
 І. КПИ- ож оқу жұмысы (3 критерий)
                               ІІ. КПИ- ғылыми-әдістемелік  жұмысы (6 критерий)
        ІІІ. КПИ тж - тәрбие  жұмысы (3 критерий)</t>
  </si>
  <si>
    <r>
      <rPr>
        <b/>
        <sz val="8"/>
        <rFont val="Times New Roman"/>
        <charset val="204"/>
      </rPr>
      <t xml:space="preserve">  І. KPI ож</t>
    </r>
    <r>
      <rPr>
        <b/>
        <sz val="8"/>
        <color theme="1"/>
        <rFont val="Times New Roman"/>
        <charset val="204"/>
      </rPr>
      <t xml:space="preserve">  Оқу  жұмысының  (3 критерий)</t>
    </r>
  </si>
  <si>
    <r>
      <rPr>
        <b/>
        <sz val="8"/>
        <color rgb="FFFF0000"/>
        <rFont val="Times New Roman"/>
        <charset val="204"/>
      </rPr>
      <t xml:space="preserve">          К1</t>
    </r>
    <r>
      <rPr>
        <b/>
        <sz val="8"/>
        <color theme="1"/>
        <rFont val="Times New Roman"/>
        <charset val="204"/>
      </rPr>
      <t xml:space="preserve">     Білім  алушының  білім жетістік динамикасы</t>
    </r>
  </si>
  <si>
    <r>
      <rPr>
        <sz val="8"/>
        <color theme="1"/>
        <rFont val="Times New Roman"/>
        <charset val="204"/>
      </rPr>
      <t xml:space="preserve">
</t>
    </r>
  </si>
  <si>
    <t xml:space="preserve">                                   Rпоб    - пәннің орта  балы              Rcоб      - сыныптың орта балы        N           - үштіктер саны                                 </t>
  </si>
  <si>
    <t>Қк- қиындық коэффициенті (математика, физика, қазақ тілі  -1,1; орыс тілі, ағылшын тілі, химия - 1,0; тарих, қоғам негіздері- 0,9; ИжЕТ негіздері, география, дінтану негіздері, биология - 0,8; дене шынықтыру, ӨҚН - 0,6; технология - 0,5; сызу, бейнелеу - 0,4</t>
  </si>
  <si>
    <t>Rпоб</t>
  </si>
  <si>
    <t>Rcоб</t>
  </si>
  <si>
    <t>Қк</t>
  </si>
  <si>
    <t>N</t>
  </si>
  <si>
    <t>Қорыт</t>
  </si>
  <si>
    <t>Қо
рыт</t>
  </si>
  <si>
    <t xml:space="preserve"> БЖБ</t>
  </si>
  <si>
    <t xml:space="preserve">20 балл- 81%-100%
10 балл- 61%-80% 
0 балл-    &lt;60% </t>
  </si>
  <si>
    <t>ТЖБ</t>
  </si>
  <si>
    <r>
      <rPr>
        <b/>
        <sz val="8"/>
        <color rgb="FFFF0000"/>
        <rFont val="Times New Roman"/>
        <charset val="204"/>
      </rPr>
      <t xml:space="preserve">K2 </t>
    </r>
    <r>
      <rPr>
        <b/>
        <sz val="8"/>
        <color theme="1"/>
        <rFont val="Times New Roman"/>
        <charset val="204"/>
      </rPr>
      <t xml:space="preserve">  Қазіргі заманғы білім беру технологияларын тиімді қолдануы</t>
    </r>
  </si>
  <si>
    <t>Қор</t>
  </si>
  <si>
    <t>Оқушы көзқарасы</t>
  </si>
  <si>
    <t>Жаңа технологияларды тиімді пайдалануы (Критериалды бағалау стратегиялар, сыни тұрғыдан ойлау, модульдік технология және т.б. технологиялар)</t>
  </si>
  <si>
    <t>0б- қолданбайды</t>
  </si>
  <si>
    <t xml:space="preserve">5б - ішінара </t>
  </si>
  <si>
    <t>10б-жүйелі</t>
  </si>
  <si>
    <r>
      <rPr>
        <b/>
        <sz val="8"/>
        <color rgb="FFFF0000"/>
        <rFont val="Times New Roman"/>
        <charset val="204"/>
      </rPr>
      <t xml:space="preserve">K3   </t>
    </r>
    <r>
      <rPr>
        <b/>
        <sz val="8"/>
        <color theme="1"/>
        <rFont val="Times New Roman"/>
        <charset val="204"/>
      </rPr>
      <t xml:space="preserve"> Педагогтың функционалдық міндеттерін  нәтижелі орындауы</t>
    </r>
  </si>
  <si>
    <t>-5б - әр ескертуге</t>
  </si>
  <si>
    <t xml:space="preserve">
-5б -әр жарақатқа  </t>
  </si>
  <si>
    <t>-5- әр ауызша шағым</t>
  </si>
  <si>
    <t>-10 -әр жазб шағымға</t>
  </si>
  <si>
    <r>
      <rPr>
        <b/>
        <sz val="8"/>
        <color theme="1"/>
        <rFont val="Times New Roman"/>
        <charset val="204"/>
      </rPr>
      <t>ІІ. R</t>
    </r>
    <r>
      <rPr>
        <b/>
        <sz val="8"/>
        <color rgb="FF008000"/>
        <rFont val="Times New Roman"/>
        <charset val="204"/>
      </rPr>
      <t xml:space="preserve">ғжн </t>
    </r>
    <r>
      <rPr>
        <b/>
        <sz val="8"/>
        <color theme="1"/>
        <rFont val="Times New Roman"/>
        <charset val="204"/>
      </rPr>
      <t xml:space="preserve">           Ғылыми-әдістемелік жұмысы (6 критерий)</t>
    </r>
  </si>
  <si>
    <r>
      <rPr>
        <b/>
        <sz val="8"/>
        <color rgb="FFFF0000"/>
        <rFont val="Times New Roman"/>
        <charset val="204"/>
      </rPr>
      <t>К1</t>
    </r>
    <r>
      <rPr>
        <b/>
        <sz val="8"/>
        <color theme="1"/>
        <rFont val="Times New Roman"/>
        <charset val="204"/>
      </rPr>
      <t xml:space="preserve">    -  Пәні бойынша және сабақтан тыс жұмыстарының нәтижесі</t>
    </r>
  </si>
  <si>
    <t xml:space="preserve">Дескрипторлар </t>
  </si>
  <si>
    <t>І тоқс</t>
  </si>
  <si>
    <t>ІІ тоқс</t>
  </si>
  <si>
    <t>ІІІ тоқс</t>
  </si>
  <si>
    <t>ІҮ тоқс</t>
  </si>
  <si>
    <t>Жалпы білім беретін мектептер бойынша олимпиадалар (мектепішілік, аудандық,  2-11 сынып оқушыларына арналған Республикалық олимпиадалар) 2011 жылғы 7 желтоқсандағы №514 бұйрығына 1-қосымша</t>
  </si>
  <si>
    <t xml:space="preserve"> 10б - мектепішілік</t>
  </si>
  <si>
    <t>100 б- аудандық</t>
  </si>
  <si>
    <t>200 б - қалалық</t>
  </si>
  <si>
    <t>300 б -республикалық</t>
  </si>
  <si>
    <t xml:space="preserve">500 б -халықаралық </t>
  </si>
  <si>
    <t xml:space="preserve">1б - әр қатысқан бала үшін </t>
  </si>
  <si>
    <t>50 б- аудандық</t>
  </si>
  <si>
    <t>100 б - қалалық</t>
  </si>
  <si>
    <t>150 б -республикалық</t>
  </si>
  <si>
    <t xml:space="preserve">200 б -халықаралық </t>
  </si>
  <si>
    <r>
      <rPr>
        <b/>
        <sz val="8"/>
        <color theme="1"/>
        <rFont val="Times New Roman"/>
        <charset val="204"/>
      </rPr>
      <t>Түрлі жарыстар</t>
    </r>
    <r>
      <rPr>
        <sz val="8"/>
        <color theme="1"/>
        <rFont val="Times New Roman"/>
        <charset val="204"/>
      </rPr>
      <t xml:space="preserve">
 </t>
    </r>
    <r>
      <rPr>
        <b/>
        <sz val="8"/>
        <color theme="1"/>
        <rFont val="Times New Roman"/>
        <charset val="204"/>
      </rPr>
      <t>Шығармашылық байқаулар</t>
    </r>
    <r>
      <rPr>
        <i/>
        <sz val="8"/>
        <color theme="1"/>
        <rFont val="Times New Roman"/>
        <charset val="204"/>
      </rPr>
      <t xml:space="preserve"> (шығарма, эссе, көркемсөз,
эстрадалық  вокал, аспапта орындау, ансамбльде орындау)
</t>
    </r>
    <r>
      <rPr>
        <sz val="8"/>
        <color theme="1"/>
        <rFont val="Times New Roman"/>
        <charset val="204"/>
      </rPr>
      <t xml:space="preserve"> </t>
    </r>
    <r>
      <rPr>
        <b/>
        <sz val="8"/>
        <color theme="1"/>
        <rFont val="Times New Roman"/>
        <charset val="204"/>
      </rPr>
      <t xml:space="preserve">Интеллектуалды олимпадалар </t>
    </r>
    <r>
      <rPr>
        <i/>
        <sz val="8"/>
        <color theme="1"/>
        <rFont val="Times New Roman"/>
        <charset val="204"/>
      </rPr>
      <t>(ақбота, кенгуру математика для всех, кенгуру- лингвист, русский медвежонок, золотое руно, пони  және т.б.)</t>
    </r>
  </si>
  <si>
    <t>3 б- аудандық</t>
  </si>
  <si>
    <t>5 б - қалалық</t>
  </si>
  <si>
    <t>10 б -республикалық</t>
  </si>
  <si>
    <t xml:space="preserve">15б -халықаралық </t>
  </si>
  <si>
    <t xml:space="preserve"> қатысқаны үшін
1б-10 оқушы, 2б-20 оқушы, 5б-30 оқушы, 
7б-50 оқушы, 10б-
50 ден жоғары</t>
  </si>
  <si>
    <t>3б - мектепішілік</t>
  </si>
  <si>
    <t>5б- аудандық</t>
  </si>
  <si>
    <t>10б - қалалық</t>
  </si>
  <si>
    <t>15 б -республикалық</t>
  </si>
  <si>
    <t xml:space="preserve">20 б -халықаралық </t>
  </si>
  <si>
    <t>7б - қалалық</t>
  </si>
  <si>
    <t xml:space="preserve">15 б -халықаралық </t>
  </si>
  <si>
    <t>К1=Ғ1+F2+F3+F4+F5</t>
  </si>
  <si>
    <r>
      <rPr>
        <b/>
        <sz val="8"/>
        <color rgb="FFFF0000"/>
        <rFont val="Times New Roman"/>
        <charset val="204"/>
      </rPr>
      <t xml:space="preserve">К2  </t>
    </r>
    <r>
      <rPr>
        <b/>
        <sz val="8"/>
        <color theme="1"/>
        <rFont val="Times New Roman"/>
        <charset val="204"/>
      </rPr>
      <t xml:space="preserve"> Кәсіби-әдістемелік  іс-әрекетінің  нәтижесі</t>
    </r>
  </si>
  <si>
    <t>Қоры
тынды</t>
  </si>
  <si>
    <t>өзін-өзі
бағалауы</t>
  </si>
  <si>
    <t>әкімшілік 
бағалауы</t>
  </si>
  <si>
    <t xml:space="preserve">             Ашық-көрнекі сабақтың сапасы,
(жоспары, көрнекілігі, жаңашылдығы, оқушылардың қабылдауы және т.б.)</t>
  </si>
  <si>
    <t>10б- мектепішілік</t>
  </si>
  <si>
    <t>20б-аудандық</t>
  </si>
  <si>
    <t>40б-қалалық</t>
  </si>
  <si>
    <t>50б-республикалық</t>
  </si>
  <si>
    <t>70б халықаралық 
(мегаурок)</t>
  </si>
  <si>
    <r>
      <rPr>
        <sz val="8"/>
        <color theme="1"/>
        <rFont val="Times New Roman"/>
        <charset val="204"/>
      </rPr>
      <t xml:space="preserve">    </t>
    </r>
    <r>
      <rPr>
        <b/>
        <sz val="8"/>
        <color theme="1"/>
        <rFont val="Times New Roman"/>
        <charset val="204"/>
      </rPr>
      <t>Мұғалімнің әдістемелік іс-тәжірибесімен бөлісуі</t>
    </r>
    <r>
      <rPr>
        <sz val="8"/>
        <color theme="1"/>
        <rFont val="Times New Roman"/>
        <charset val="204"/>
      </rPr>
      <t xml:space="preserve">
</t>
    </r>
    <r>
      <rPr>
        <i/>
        <sz val="8"/>
        <color theme="1"/>
        <rFont val="Times New Roman"/>
        <charset val="204"/>
      </rPr>
      <t>1. Панорамалық және ықшам сабақтың сапасы
 (жаңашылдығы, ерекшелігі, жеткізу мәнері және т.б.)
2.Семинар, коучинг, конференцияларда шығармашылық
жұмыстарын көрсету
3.Педкеңесте, әдістемелік кеңесте шығармашылық 
жұмыстарын  жариялау</t>
    </r>
  </si>
  <si>
    <t>0-5б- мектепішілік</t>
  </si>
  <si>
    <t>6б-аудандық</t>
  </si>
  <si>
    <t>7б-қалалық</t>
  </si>
  <si>
    <t>10б-республикалық</t>
  </si>
  <si>
    <t>1б-өткізгені үшін</t>
  </si>
  <si>
    <t>5б- мектепішілік</t>
  </si>
  <si>
    <t>7б-аудандық</t>
  </si>
  <si>
    <t>10б-қалалық</t>
  </si>
  <si>
    <t>15б-республикалық</t>
  </si>
  <si>
    <t>30б</t>
  </si>
  <si>
    <t xml:space="preserve">100б </t>
  </si>
  <si>
    <t>К2=Ғ1+F2+F3+F4+F5+F6</t>
  </si>
  <si>
    <r>
      <rPr>
        <b/>
        <sz val="8"/>
        <color theme="1"/>
        <rFont val="Times New Roman"/>
        <charset val="204"/>
      </rPr>
      <t xml:space="preserve"> </t>
    </r>
    <r>
      <rPr>
        <b/>
        <sz val="8"/>
        <color rgb="FFFF0000"/>
        <rFont val="Times New Roman"/>
        <charset val="204"/>
      </rPr>
      <t>К3</t>
    </r>
    <r>
      <rPr>
        <b/>
        <sz val="8"/>
        <color theme="1"/>
        <rFont val="Times New Roman"/>
        <charset val="204"/>
      </rPr>
      <t xml:space="preserve"> Білім жетілдіру, кәсіптік  қайта даярлау курстарының нәтижесі</t>
    </r>
  </si>
  <si>
    <t>F1</t>
  </si>
  <si>
    <t>Білім жетілдіру курстарынан өту</t>
  </si>
  <si>
    <t>20б</t>
  </si>
  <si>
    <t>F2</t>
  </si>
  <si>
    <t xml:space="preserve">Ғылыми дәрежесі </t>
  </si>
  <si>
    <t>20б-магистр</t>
  </si>
  <si>
    <t>50б-ғылым кандидаты</t>
  </si>
  <si>
    <t>70-доктор Phd</t>
  </si>
  <si>
    <t>F3</t>
  </si>
  <si>
    <t>Марапаттар</t>
  </si>
  <si>
    <t>10б - мектепішілік</t>
  </si>
  <si>
    <t>20б- аудандық</t>
  </si>
  <si>
    <t>30б - қалалық</t>
  </si>
  <si>
    <t>50б -республикалық</t>
  </si>
  <si>
    <t xml:space="preserve">100 б -халықаралық </t>
  </si>
  <si>
    <t>100б- Білім беру ісінің үздігі</t>
  </si>
  <si>
    <t>100б-Алтынсарин</t>
  </si>
  <si>
    <t>100б- Орден</t>
  </si>
  <si>
    <t>F4</t>
  </si>
  <si>
    <r>
      <rPr>
        <b/>
        <sz val="8"/>
        <rFont val="Times New Roman"/>
        <charset val="204"/>
      </rPr>
      <t>Сабақтастық</t>
    </r>
    <r>
      <rPr>
        <sz val="8"/>
        <rFont val="Times New Roman"/>
        <charset val="204"/>
      </rPr>
      <t xml:space="preserve">
</t>
    </r>
    <r>
      <rPr>
        <i/>
        <sz val="8"/>
        <rFont val="Times New Roman"/>
        <charset val="204"/>
      </rPr>
      <t>(самоанализ, әріптесінің сабағын талдау сыныбының сабағына қатысуы)</t>
    </r>
  </si>
  <si>
    <t>10б -самоанализ</t>
  </si>
  <si>
    <t>10б-сабақтастық</t>
  </si>
  <si>
    <t xml:space="preserve"> К3=Ғ1+F2+F3+F4</t>
  </si>
  <si>
    <r>
      <rPr>
        <b/>
        <sz val="8"/>
        <color rgb="FFFF0000"/>
        <rFont val="Times New Roman"/>
        <charset val="204"/>
      </rPr>
      <t xml:space="preserve">    К4 </t>
    </r>
    <r>
      <rPr>
        <b/>
        <sz val="8"/>
        <rFont val="Times New Roman"/>
        <charset val="204"/>
      </rPr>
      <t xml:space="preserve"> Өз кәсібіне оқушылардың қызығушылығын ояту</t>
    </r>
  </si>
  <si>
    <r>
      <rPr>
        <b/>
        <sz val="8"/>
        <rFont val="Times New Roman"/>
        <charset val="204"/>
      </rPr>
      <t>Мұғалім өз пәні бойынша бейімдеуі
(</t>
    </r>
    <r>
      <rPr>
        <i/>
        <sz val="8"/>
        <rFont val="Times New Roman"/>
        <charset val="204"/>
      </rPr>
      <t xml:space="preserve">Мен пәніммен мақтанамын, оқушыға  бейіналды және бейін 
бойынша  бағыттар беру </t>
    </r>
  </si>
  <si>
    <r>
      <rPr>
        <sz val="8"/>
        <rFont val="Times New Roman"/>
        <charset val="204"/>
      </rPr>
      <t>0-5б-сапалы</t>
    </r>
    <r>
      <rPr>
        <b/>
        <sz val="8"/>
        <rFont val="Times New Roman"/>
        <charset val="204"/>
      </rPr>
      <t xml:space="preserve"> </t>
    </r>
    <r>
      <rPr>
        <sz val="8"/>
        <rFont val="Times New Roman"/>
        <charset val="204"/>
      </rPr>
      <t>өткізce
20б- мұғалімнің бейінін таңдаған әр оқушысы үшін</t>
    </r>
  </si>
  <si>
    <t>К4=Ғ1</t>
  </si>
  <si>
    <r>
      <rPr>
        <b/>
        <sz val="8"/>
        <color rgb="FFFF0000"/>
        <rFont val="Times New Roman"/>
        <charset val="204"/>
      </rPr>
      <t xml:space="preserve"> К5</t>
    </r>
    <r>
      <rPr>
        <b/>
        <sz val="8"/>
        <color theme="1"/>
        <rFont val="Times New Roman"/>
        <charset val="204"/>
      </rPr>
      <t xml:space="preserve">      Түрлі кәсіптік  байқауларға қатысуы</t>
    </r>
  </si>
  <si>
    <r>
      <rPr>
        <b/>
        <sz val="8"/>
        <color theme="1"/>
        <rFont val="Times New Roman"/>
        <charset val="204"/>
      </rPr>
      <t xml:space="preserve">                Кәсіптік байқаулар </t>
    </r>
    <r>
      <rPr>
        <sz val="8"/>
        <color theme="1"/>
        <rFont val="Times New Roman"/>
        <charset val="204"/>
      </rPr>
      <t xml:space="preserve">
("Үздік педагог", Үздік сынып жетекші",Пәндік олимпиадалар,Педагогикалық оқулар)</t>
    </r>
  </si>
  <si>
    <t>50б-аудандық</t>
  </si>
  <si>
    <t>100б-қалалық</t>
  </si>
  <si>
    <t>150б-республикалық</t>
  </si>
  <si>
    <t>К5=Ғ1</t>
  </si>
  <si>
    <r>
      <rPr>
        <b/>
        <sz val="8"/>
        <color rgb="FFFF0000"/>
        <rFont val="Times New Roman"/>
        <charset val="204"/>
      </rPr>
      <t xml:space="preserve">К6 </t>
    </r>
    <r>
      <rPr>
        <b/>
        <sz val="8"/>
        <rFont val="Times New Roman"/>
        <charset val="204"/>
      </rPr>
      <t xml:space="preserve"> Қоғамдық  жұмыстарға  атсалысуы, нәтижелілігі  </t>
    </r>
    <r>
      <rPr>
        <sz val="8"/>
        <rFont val="Times New Roman"/>
        <charset val="204"/>
      </rPr>
      <t>(кафедра, ӘБ, кәсіподақ,сынып жетекшіліктің болуы, , сайлау,   және т.б.)</t>
    </r>
  </si>
  <si>
    <t>50б</t>
  </si>
  <si>
    <t>КПИ=К1+К2+К3+К4+К5+К6</t>
  </si>
  <si>
    <r>
      <rPr>
        <b/>
        <sz val="8"/>
        <color rgb="FF008000"/>
        <rFont val="Times New Roman"/>
        <charset val="204"/>
      </rPr>
      <t xml:space="preserve">Rтжн    </t>
    </r>
    <r>
      <rPr>
        <b/>
        <sz val="8"/>
        <color theme="1"/>
        <rFont val="Times New Roman"/>
        <charset val="204"/>
      </rPr>
      <t xml:space="preserve">  ІІІ. ТЖ (3 критерий)</t>
    </r>
  </si>
  <si>
    <r>
      <rPr>
        <b/>
        <sz val="8"/>
        <color theme="1"/>
        <rFont val="Times New Roman"/>
        <charset val="204"/>
      </rPr>
      <t xml:space="preserve"> </t>
    </r>
    <r>
      <rPr>
        <b/>
        <sz val="8"/>
        <color rgb="FFFF0000"/>
        <rFont val="Times New Roman"/>
        <charset val="204"/>
      </rPr>
      <t>К1</t>
    </r>
    <r>
      <rPr>
        <b/>
        <sz val="8"/>
        <color theme="1"/>
        <rFont val="Times New Roman"/>
        <charset val="204"/>
      </rPr>
      <t xml:space="preserve">      Сыныптың  мәдениеті мен тәртіп деңгейі    </t>
    </r>
  </si>
  <si>
    <t>T1</t>
  </si>
  <si>
    <t>Тәрбие бұзушылықтың болмауы, сырт бейнесі,тәртібі
сабақтан кешікпеуі, сабақтан қалмауы</t>
  </si>
  <si>
    <r>
      <rPr>
        <sz val="8"/>
        <color theme="0"/>
        <rFont val="Times New Roman"/>
        <charset val="204"/>
      </rPr>
      <t>.</t>
    </r>
    <r>
      <rPr>
        <sz val="8"/>
        <color theme="1"/>
        <rFont val="Times New Roman"/>
        <charset val="204"/>
      </rPr>
      <t>-5 - әр ескертуге</t>
    </r>
  </si>
  <si>
    <t>К1=T1</t>
  </si>
  <si>
    <r>
      <rPr>
        <b/>
        <sz val="8"/>
        <color rgb="FFFF0000"/>
        <rFont val="Times New Roman"/>
        <charset val="204"/>
      </rPr>
      <t>К2  KPI</t>
    </r>
    <r>
      <rPr>
        <b/>
        <sz val="8"/>
        <color theme="1"/>
        <rFont val="Times New Roman"/>
        <charset val="204"/>
      </rPr>
      <t xml:space="preserve"> с</t>
    </r>
    <r>
      <rPr>
        <b/>
        <sz val="8"/>
        <rFont val="Times New Roman"/>
        <charset val="204"/>
      </rPr>
      <t xml:space="preserve">ынып жетекші        </t>
    </r>
  </si>
  <si>
    <t>10б</t>
  </si>
  <si>
    <t>T2</t>
  </si>
  <si>
    <t>T3</t>
  </si>
  <si>
    <t>T4</t>
  </si>
  <si>
    <t>T5</t>
  </si>
  <si>
    <t>T6</t>
  </si>
  <si>
    <r>
      <rPr>
        <b/>
        <sz val="8"/>
        <color theme="1"/>
        <rFont val="Times New Roman"/>
        <charset val="204"/>
      </rPr>
      <t xml:space="preserve">Оқушыларды түрлі қоғамдық жұмыстарға қатыстыру арқылы лидерлік қасиетін ояту </t>
    </r>
    <r>
      <rPr>
        <sz val="8"/>
        <color theme="1"/>
        <rFont val="Times New Roman"/>
        <charset val="204"/>
      </rPr>
      <t xml:space="preserve">(экосақшы, сенбіліктер, кезекшілік  және т.б.)
</t>
    </r>
    <r>
      <rPr>
        <b/>
        <sz val="8"/>
        <color theme="1"/>
        <rFont val="Times New Roman"/>
        <charset val="204"/>
      </rPr>
      <t xml:space="preserve">Сыныптың  түрлі үйірмелер мен спорттық секцияларға қатыстыру көрсеткіші  </t>
    </r>
    <r>
      <rPr>
        <sz val="8"/>
        <color theme="1"/>
        <rFont val="Times New Roman"/>
        <charset val="204"/>
      </rPr>
      <t>(би, волейбол, робототехника,шахмат, таэквандо және т.б,)</t>
    </r>
  </si>
  <si>
    <t>0б- 20% дейін</t>
  </si>
  <si>
    <t>20б- 21%- 45% дейін</t>
  </si>
  <si>
    <t>40б- 46%- 65% дейін</t>
  </si>
  <si>
    <t>50б- 66%- 100% дейін</t>
  </si>
  <si>
    <t>T7</t>
  </si>
  <si>
    <t>К2=Т1+Т2+Т3+Т4+Т5+Т6+Т7</t>
  </si>
  <si>
    <r>
      <rPr>
        <b/>
        <sz val="8"/>
        <color rgb="FFFF0000"/>
        <rFont val="Times New Roman"/>
        <charset val="204"/>
      </rPr>
      <t xml:space="preserve">      К3</t>
    </r>
    <r>
      <rPr>
        <b/>
        <sz val="8"/>
        <color theme="1"/>
        <rFont val="Times New Roman"/>
        <charset val="204"/>
      </rPr>
      <t xml:space="preserve">     Сынып құжаттарының жүргізілуі</t>
    </r>
  </si>
  <si>
    <t>50б, - 5 б әр ескертуге</t>
  </si>
  <si>
    <t>100б , -20б - әр ескертуге</t>
  </si>
  <si>
    <t xml:space="preserve"> К3 =T1+T2</t>
  </si>
  <si>
    <t xml:space="preserve">Rтжн = К1+К2+К3 </t>
  </si>
  <si>
    <t>5б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</si>
</sst>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charset val="204"/>
      <scheme val="minor"/>
    </font>
    <font>
      <sz val="8"/>
      <color theme="1"/>
      <name val="Calibri"/>
      <charset val="204"/>
      <scheme val="minor"/>
    </font>
    <font>
      <b/>
      <sz val="8"/>
      <color theme="1"/>
      <name val="Times New Roman"/>
      <charset val="204"/>
    </font>
    <font>
      <sz val="8"/>
      <color theme="1"/>
      <name val="Times New Roman"/>
      <charset val="204"/>
    </font>
    <font>
      <b/>
      <sz val="8"/>
      <color rgb="FFFF0000"/>
      <name val="Times New Roman"/>
      <charset val="204"/>
    </font>
    <font>
      <b/>
      <sz val="8"/>
      <color rgb="FF008000"/>
      <name val="Times New Roman"/>
      <charset val="204"/>
    </font>
    <font>
      <sz val="8"/>
      <color theme="0"/>
      <name val="Times New Roman"/>
      <charset val="204"/>
    </font>
    <font>
      <b/>
      <sz val="8"/>
      <name val="Times New Roman"/>
      <charset val="204"/>
    </font>
    <font>
      <sz val="8"/>
      <name val="Times New Roman"/>
      <charset val="204"/>
    </font>
    <font>
      <sz val="8"/>
      <color rgb="FFFF0000"/>
      <name val="Calibri"/>
      <charset val="204"/>
      <scheme val="minor"/>
    </font>
    <font>
      <b/>
      <sz val="8"/>
      <color rgb="FFFF0000"/>
      <name val="Calibri"/>
      <charset val="204"/>
      <scheme val="minor"/>
    </font>
    <font>
      <b/>
      <sz val="8"/>
      <color rgb="FF7030A0"/>
      <name val="Times New Roman"/>
      <charset val="204"/>
    </font>
    <font>
      <b/>
      <sz val="9"/>
      <color rgb="FFFF0000"/>
      <name val="Times New Roman"/>
      <charset val="204"/>
    </font>
    <font>
      <b/>
      <sz val="9"/>
      <color rgb="FFC00000"/>
      <name val="Times New Roman"/>
      <charset val="204"/>
    </font>
    <font>
      <sz val="9"/>
      <color theme="1"/>
      <name val="Calibri"/>
      <charset val="204"/>
      <scheme val="minor"/>
    </font>
    <font>
      <b/>
      <sz val="9"/>
      <color theme="1"/>
      <name val="Times New Roman"/>
      <charset val="204"/>
    </font>
    <font>
      <sz val="9"/>
      <color theme="1"/>
      <name val="Times New Roman"/>
      <charset val="204"/>
    </font>
    <font>
      <b/>
      <sz val="9"/>
      <name val="Times New Roman"/>
      <charset val="204"/>
    </font>
    <font>
      <sz val="9"/>
      <name val="Times New Roman"/>
      <charset val="204"/>
    </font>
    <font>
      <b/>
      <sz val="9"/>
      <color rgb="FFC00000"/>
      <name val="Calibri"/>
      <charset val="204"/>
      <scheme val="minor"/>
    </font>
    <font>
      <b/>
      <sz val="11"/>
      <name val="Times New Roman"/>
      <charset val="204"/>
    </font>
    <font>
      <i/>
      <sz val="8"/>
      <name val="Times New Roman"/>
      <charset val="204"/>
    </font>
    <font>
      <i/>
      <sz val="8"/>
      <color theme="1"/>
      <name val="Times New Roman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BE98E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theme="1"/>
      </right>
      <top style="medium">
        <color theme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theme="1"/>
      </bottom>
      <diagonal/>
    </border>
    <border>
      <left/>
      <right/>
      <top style="medium">
        <color auto="1"/>
      </top>
      <bottom style="medium">
        <color theme="1"/>
      </bottom>
      <diagonal/>
    </border>
    <border>
      <left/>
      <right style="thin">
        <color auto="1"/>
      </right>
      <top style="medium">
        <color auto="1"/>
      </top>
      <bottom style="medium">
        <color theme="1"/>
      </bottom>
      <diagonal/>
    </border>
    <border>
      <left style="medium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theme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theme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43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2" fillId="0" borderId="6" xfId="0" applyFont="1" applyBorder="1"/>
    <xf numFmtId="0" fontId="2" fillId="0" borderId="7" xfId="0" applyFont="1" applyBorder="1"/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6" xfId="0" applyFont="1" applyBorder="1"/>
    <xf numFmtId="0" fontId="3" fillId="0" borderId="7" xfId="0" applyFont="1" applyBorder="1"/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" fillId="0" borderId="16" xfId="0" applyFont="1" applyBorder="1" applyAlignment="1">
      <alignment vertical="center" wrapText="1"/>
    </xf>
    <xf numFmtId="0" fontId="3" fillId="0" borderId="16" xfId="0" applyFont="1" applyBorder="1"/>
    <xf numFmtId="0" fontId="2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3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17" xfId="0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wrapText="1"/>
    </xf>
    <xf numFmtId="49" fontId="3" fillId="0" borderId="16" xfId="0" applyNumberFormat="1" applyFont="1" applyBorder="1" applyAlignment="1">
      <alignment horizontal="center" wrapText="1"/>
    </xf>
    <xf numFmtId="0" fontId="3" fillId="0" borderId="24" xfId="0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2" borderId="8" xfId="0" applyFont="1" applyFill="1" applyBorder="1"/>
    <xf numFmtId="0" fontId="2" fillId="2" borderId="9" xfId="0" applyFont="1" applyFill="1" applyBorder="1"/>
    <xf numFmtId="0" fontId="3" fillId="2" borderId="26" xfId="0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9" xfId="0" applyFont="1" applyBorder="1"/>
    <xf numFmtId="164" fontId="2" fillId="0" borderId="16" xfId="0" applyNumberFormat="1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1" fontId="2" fillId="0" borderId="16" xfId="0" applyNumberFormat="1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3" fillId="0" borderId="16" xfId="0" applyFont="1" applyBorder="1" applyAlignment="1">
      <alignment wrapText="1"/>
    </xf>
    <xf numFmtId="1" fontId="3" fillId="0" borderId="16" xfId="0" applyNumberFormat="1" applyFont="1" applyBorder="1" applyAlignment="1">
      <alignment wrapText="1"/>
    </xf>
    <xf numFmtId="0" fontId="2" fillId="2" borderId="31" xfId="0" applyFont="1" applyFill="1" applyBorder="1"/>
    <xf numFmtId="0" fontId="2" fillId="2" borderId="18" xfId="0" applyFont="1" applyFill="1" applyBorder="1"/>
    <xf numFmtId="0" fontId="2" fillId="2" borderId="16" xfId="0" applyFont="1" applyFill="1" applyBorder="1"/>
    <xf numFmtId="0" fontId="2" fillId="2" borderId="25" xfId="0" applyFont="1" applyFill="1" applyBorder="1"/>
    <xf numFmtId="0" fontId="3" fillId="2" borderId="0" xfId="0" applyFont="1" applyFill="1"/>
    <xf numFmtId="0" fontId="3" fillId="2" borderId="32" xfId="0" applyFont="1" applyFill="1" applyBorder="1"/>
    <xf numFmtId="0" fontId="2" fillId="2" borderId="14" xfId="0" applyFont="1" applyFill="1" applyBorder="1"/>
    <xf numFmtId="0" fontId="3" fillId="2" borderId="0" xfId="0" applyFont="1" applyFill="1" applyAlignment="1">
      <alignment horizontal="center"/>
    </xf>
    <xf numFmtId="0" fontId="2" fillId="2" borderId="32" xfId="0" applyFont="1" applyFill="1" applyBorder="1"/>
    <xf numFmtId="0" fontId="2" fillId="0" borderId="34" xfId="0" applyFont="1" applyBorder="1"/>
    <xf numFmtId="0" fontId="3" fillId="0" borderId="34" xfId="0" applyFont="1" applyBorder="1" applyAlignment="1">
      <alignment wrapText="1"/>
    </xf>
    <xf numFmtId="0" fontId="6" fillId="0" borderId="34" xfId="0" applyFont="1" applyBorder="1"/>
    <xf numFmtId="0" fontId="4" fillId="2" borderId="33" xfId="0" applyFont="1" applyFill="1" applyBorder="1" applyAlignment="1">
      <alignment horizontal="center" vertical="top"/>
    </xf>
    <xf numFmtId="164" fontId="4" fillId="2" borderId="38" xfId="0" applyNumberFormat="1" applyFont="1" applyFill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44" xfId="0" applyFont="1" applyBorder="1" applyAlignment="1">
      <alignment vertical="top"/>
    </xf>
    <xf numFmtId="0" fontId="5" fillId="0" borderId="45" xfId="0" applyFont="1" applyBorder="1"/>
    <xf numFmtId="0" fontId="2" fillId="0" borderId="33" xfId="0" applyFont="1" applyBorder="1" applyAlignment="1">
      <alignment vertical="center"/>
    </xf>
    <xf numFmtId="0" fontId="2" fillId="2" borderId="28" xfId="0" applyFont="1" applyFill="1" applyBorder="1"/>
    <xf numFmtId="0" fontId="2" fillId="2" borderId="41" xfId="0" applyFont="1" applyFill="1" applyBorder="1"/>
    <xf numFmtId="0" fontId="2" fillId="2" borderId="39" xfId="0" applyFont="1" applyFill="1" applyBorder="1"/>
    <xf numFmtId="0" fontId="4" fillId="2" borderId="46" xfId="0" applyFont="1" applyFill="1" applyBorder="1" applyAlignment="1">
      <alignment horizontal="center"/>
    </xf>
    <xf numFmtId="0" fontId="2" fillId="2" borderId="27" xfId="0" applyFont="1" applyFill="1" applyBorder="1"/>
    <xf numFmtId="0" fontId="4" fillId="2" borderId="38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2" borderId="47" xfId="0" applyFont="1" applyFill="1" applyBorder="1"/>
    <xf numFmtId="0" fontId="1" fillId="0" borderId="27" xfId="0" applyFont="1" applyBorder="1"/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left" wrapText="1"/>
    </xf>
    <xf numFmtId="0" fontId="3" fillId="0" borderId="32" xfId="0" applyFont="1" applyBorder="1" applyAlignment="1">
      <alignment horizontal="left" wrapText="1"/>
    </xf>
    <xf numFmtId="0" fontId="3" fillId="0" borderId="5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0" borderId="8" xfId="0" applyFont="1" applyBorder="1"/>
    <xf numFmtId="0" fontId="2" fillId="0" borderId="60" xfId="0" applyFont="1" applyBorder="1"/>
    <xf numFmtId="0" fontId="2" fillId="0" borderId="61" xfId="0" applyFont="1" applyBorder="1"/>
    <xf numFmtId="0" fontId="2" fillId="0" borderId="62" xfId="0" applyFont="1" applyBorder="1"/>
    <xf numFmtId="0" fontId="3" fillId="0" borderId="14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5" xfId="0" applyFont="1" applyBorder="1"/>
    <xf numFmtId="0" fontId="3" fillId="0" borderId="14" xfId="0" applyFont="1" applyBorder="1"/>
    <xf numFmtId="0" fontId="3" fillId="0" borderId="16" xfId="0" applyFont="1" applyBorder="1" applyAlignment="1">
      <alignment vertical="center"/>
    </xf>
    <xf numFmtId="0" fontId="1" fillId="0" borderId="16" xfId="0" applyFont="1" applyBorder="1" applyAlignment="1">
      <alignment wrapText="1"/>
    </xf>
    <xf numFmtId="0" fontId="3" fillId="0" borderId="32" xfId="0" applyFont="1" applyBorder="1" applyAlignment="1">
      <alignment horizontal="center" vertical="center" wrapText="1"/>
    </xf>
    <xf numFmtId="0" fontId="3" fillId="0" borderId="18" xfId="0" applyFont="1" applyBorder="1" applyAlignment="1">
      <alignment vertical="center"/>
    </xf>
    <xf numFmtId="0" fontId="3" fillId="0" borderId="18" xfId="0" applyFont="1" applyBorder="1"/>
    <xf numFmtId="0" fontId="3" fillId="0" borderId="25" xfId="0" applyFont="1" applyBorder="1" applyAlignment="1">
      <alignment vertical="center" wrapText="1"/>
    </xf>
    <xf numFmtId="0" fontId="3" fillId="0" borderId="25" xfId="0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Border="1" applyAlignment="1">
      <alignment wrapText="1"/>
    </xf>
    <xf numFmtId="0" fontId="3" fillId="0" borderId="58" xfId="0" applyFont="1" applyBorder="1" applyAlignment="1">
      <alignment wrapText="1"/>
    </xf>
    <xf numFmtId="0" fontId="3" fillId="0" borderId="58" xfId="0" applyFont="1" applyBorder="1"/>
    <xf numFmtId="0" fontId="3" fillId="2" borderId="5" xfId="0" applyFont="1" applyFill="1" applyBorder="1" applyAlignment="1">
      <alignment horizontal="center"/>
    </xf>
    <xf numFmtId="0" fontId="3" fillId="0" borderId="5" xfId="0" applyFont="1" applyBorder="1"/>
    <xf numFmtId="0" fontId="7" fillId="0" borderId="16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4" xfId="0" applyFont="1" applyBorder="1" applyAlignment="1">
      <alignment horizontal="center"/>
    </xf>
    <xf numFmtId="0" fontId="4" fillId="2" borderId="44" xfId="0" applyFont="1" applyFill="1" applyBorder="1" applyAlignment="1">
      <alignment horizontal="center"/>
    </xf>
    <xf numFmtId="0" fontId="2" fillId="2" borderId="34" xfId="0" applyFont="1" applyFill="1" applyBorder="1"/>
    <xf numFmtId="0" fontId="1" fillId="0" borderId="16" xfId="0" applyFont="1" applyBorder="1"/>
    <xf numFmtId="0" fontId="2" fillId="2" borderId="40" xfId="0" applyFont="1" applyFill="1" applyBorder="1"/>
    <xf numFmtId="0" fontId="1" fillId="0" borderId="25" xfId="0" applyFont="1" applyBorder="1"/>
    <xf numFmtId="0" fontId="2" fillId="2" borderId="64" xfId="0" applyFont="1" applyFill="1" applyBorder="1"/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4" fillId="0" borderId="44" xfId="0" applyFont="1" applyBorder="1" applyAlignment="1">
      <alignment vertical="center" wrapText="1"/>
    </xf>
    <xf numFmtId="0" fontId="1" fillId="0" borderId="27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8" xfId="0" applyFont="1" applyBorder="1"/>
    <xf numFmtId="0" fontId="9" fillId="0" borderId="46" xfId="0" applyFont="1" applyBorder="1" applyAlignment="1">
      <alignment horizontal="center"/>
    </xf>
    <xf numFmtId="0" fontId="1" fillId="0" borderId="39" xfId="0" applyFont="1" applyBorder="1"/>
    <xf numFmtId="0" fontId="9" fillId="0" borderId="38" xfId="0" applyFont="1" applyBorder="1" applyAlignment="1">
      <alignment horizontal="center"/>
    </xf>
    <xf numFmtId="0" fontId="1" fillId="0" borderId="64" xfId="0" applyFon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8" xfId="0" applyFont="1" applyBorder="1"/>
    <xf numFmtId="0" fontId="9" fillId="0" borderId="47" xfId="0" applyFont="1" applyBorder="1"/>
    <xf numFmtId="0" fontId="1" fillId="0" borderId="40" xfId="0" applyFont="1" applyBorder="1"/>
    <xf numFmtId="0" fontId="1" fillId="0" borderId="16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0" xfId="0" applyFont="1" applyBorder="1"/>
    <xf numFmtId="0" fontId="1" fillId="0" borderId="64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0" fillId="0" borderId="47" xfId="0" applyFont="1" applyBorder="1"/>
    <xf numFmtId="0" fontId="2" fillId="2" borderId="12" xfId="0" applyFont="1" applyFill="1" applyBorder="1"/>
    <xf numFmtId="0" fontId="2" fillId="2" borderId="68" xfId="0" applyFont="1" applyFill="1" applyBorder="1"/>
    <xf numFmtId="0" fontId="2" fillId="2" borderId="69" xfId="0" applyFont="1" applyFill="1" applyBorder="1"/>
    <xf numFmtId="0" fontId="2" fillId="2" borderId="5" xfId="0" applyFont="1" applyFill="1" applyBorder="1"/>
    <xf numFmtId="0" fontId="3" fillId="0" borderId="24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71" xfId="0" applyFont="1" applyBorder="1"/>
    <xf numFmtId="0" fontId="1" fillId="0" borderId="15" xfId="0" applyFont="1" applyBorder="1" applyAlignment="1">
      <alignment wrapText="1"/>
    </xf>
    <xf numFmtId="0" fontId="3" fillId="0" borderId="14" xfId="0" applyFont="1" applyBorder="1" applyAlignment="1">
      <alignment vertical="center"/>
    </xf>
    <xf numFmtId="0" fontId="3" fillId="0" borderId="74" xfId="0" applyFont="1" applyBorder="1"/>
    <xf numFmtId="0" fontId="5" fillId="0" borderId="3" xfId="0" applyFont="1" applyBorder="1" applyAlignment="1">
      <alignment vertical="center"/>
    </xf>
    <xf numFmtId="0" fontId="1" fillId="0" borderId="75" xfId="0" applyFont="1" applyBorder="1"/>
    <xf numFmtId="0" fontId="1" fillId="0" borderId="46" xfId="0" applyFont="1" applyBorder="1" applyAlignment="1">
      <alignment horizontal="center"/>
    </xf>
    <xf numFmtId="0" fontId="1" fillId="0" borderId="3" xfId="0" applyFont="1" applyBorder="1"/>
    <xf numFmtId="0" fontId="10" fillId="0" borderId="44" xfId="0" applyFont="1" applyBorder="1"/>
    <xf numFmtId="0" fontId="1" fillId="0" borderId="40" xfId="0" applyFont="1" applyBorder="1" applyAlignment="1">
      <alignment horizontal="right"/>
    </xf>
    <xf numFmtId="0" fontId="1" fillId="0" borderId="64" xfId="0" applyFont="1" applyBorder="1" applyAlignment="1">
      <alignment horizontal="right"/>
    </xf>
    <xf numFmtId="0" fontId="1" fillId="0" borderId="42" xfId="0" applyFont="1" applyBorder="1"/>
    <xf numFmtId="0" fontId="1" fillId="0" borderId="76" xfId="0" applyFont="1" applyBorder="1"/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16" xfId="0" applyFont="1" applyBorder="1" applyAlignment="1">
      <alignment vertical="center"/>
    </xf>
    <xf numFmtId="0" fontId="13" fillId="4" borderId="15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20" fillId="6" borderId="4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33" xfId="0" applyFont="1" applyBorder="1"/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33" xfId="0" applyFont="1" applyBorder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60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3" fillId="0" borderId="63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wrapText="1"/>
    </xf>
    <xf numFmtId="0" fontId="7" fillId="0" borderId="71" xfId="0" applyFont="1" applyBorder="1" applyAlignment="1">
      <alignment horizontal="center" wrapText="1"/>
    </xf>
    <xf numFmtId="0" fontId="8" fillId="0" borderId="25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0" borderId="16" xfId="0" applyFont="1" applyBorder="1" applyAlignment="1">
      <alignment horizontal="left"/>
    </xf>
    <xf numFmtId="0" fontId="3" fillId="0" borderId="16" xfId="0" applyFont="1" applyBorder="1" applyAlignment="1">
      <alignment horizontal="left" wrapText="1"/>
    </xf>
    <xf numFmtId="0" fontId="3" fillId="0" borderId="23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56" xfId="0" applyFont="1" applyBorder="1" applyAlignment="1">
      <alignment horizontal="left" wrapText="1"/>
    </xf>
    <xf numFmtId="0" fontId="3" fillId="0" borderId="57" xfId="0" applyFont="1" applyBorder="1" applyAlignment="1">
      <alignment horizontal="left" wrapText="1"/>
    </xf>
    <xf numFmtId="0" fontId="3" fillId="0" borderId="5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72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31" xfId="0" applyFont="1" applyBorder="1" applyAlignment="1">
      <alignment horizontal="center"/>
    </xf>
    <xf numFmtId="0" fontId="3" fillId="0" borderId="65" xfId="0" applyFont="1" applyBorder="1" applyAlignment="1">
      <alignment horizontal="left" wrapText="1"/>
    </xf>
    <xf numFmtId="0" fontId="3" fillId="0" borderId="73" xfId="0" applyFont="1" applyBorder="1" applyAlignment="1">
      <alignment horizontal="left" wrapText="1"/>
    </xf>
    <xf numFmtId="0" fontId="3" fillId="0" borderId="66" xfId="0" applyFont="1" applyBorder="1" applyAlignment="1">
      <alignment horizontal="left" wrapText="1"/>
    </xf>
    <xf numFmtId="0" fontId="3" fillId="0" borderId="25" xfId="0" applyFont="1" applyBorder="1" applyAlignment="1">
      <alignment horizontal="left" wrapText="1"/>
    </xf>
    <xf numFmtId="0" fontId="3" fillId="0" borderId="2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wrapText="1"/>
    </xf>
    <xf numFmtId="0" fontId="3" fillId="0" borderId="25" xfId="0" applyFont="1" applyBorder="1" applyAlignment="1">
      <alignment horizontal="left" vertical="center" wrapText="1"/>
    </xf>
    <xf numFmtId="0" fontId="3" fillId="0" borderId="53" xfId="0" applyFont="1" applyBorder="1" applyAlignment="1">
      <alignment horizontal="center" vertical="center" wrapText="1"/>
    </xf>
    <xf numFmtId="0" fontId="1" fillId="0" borderId="54" xfId="0" applyFont="1" applyBorder="1"/>
    <xf numFmtId="0" fontId="1" fillId="0" borderId="27" xfId="0" applyFont="1" applyBorder="1"/>
    <xf numFmtId="0" fontId="1" fillId="0" borderId="32" xfId="0" applyFont="1" applyBorder="1"/>
    <xf numFmtId="0" fontId="2" fillId="0" borderId="8" xfId="0" applyFont="1" applyBorder="1" applyAlignment="1">
      <alignment horizontal="center" vertical="center"/>
    </xf>
    <xf numFmtId="0" fontId="1" fillId="0" borderId="9" xfId="0" applyFont="1" applyBorder="1"/>
    <xf numFmtId="0" fontId="1" fillId="0" borderId="30" xfId="0" applyFont="1" applyBorder="1"/>
    <xf numFmtId="0" fontId="1" fillId="0" borderId="49" xfId="0" applyFont="1" applyBorder="1"/>
    <xf numFmtId="0" fontId="1" fillId="0" borderId="50" xfId="0" applyFont="1" applyBorder="1"/>
    <xf numFmtId="0" fontId="1" fillId="0" borderId="51" xfId="0" applyFont="1" applyBorder="1"/>
    <xf numFmtId="0" fontId="2" fillId="0" borderId="2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52" xfId="0" applyFont="1" applyBorder="1"/>
    <xf numFmtId="0" fontId="3" fillId="0" borderId="15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 wrapText="1"/>
    </xf>
    <xf numFmtId="0" fontId="13" fillId="3" borderId="16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20" fillId="6" borderId="55" xfId="0" applyFont="1" applyFill="1" applyBorder="1" applyAlignment="1">
      <alignment horizontal="center" vertical="center"/>
    </xf>
    <xf numFmtId="0" fontId="20" fillId="6" borderId="58" xfId="0" applyFont="1" applyFill="1" applyBorder="1" applyAlignment="1">
      <alignment horizontal="center" vertical="center"/>
    </xf>
    <xf numFmtId="0" fontId="20" fillId="6" borderId="56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BE9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461596</xdr:colOff>
      <xdr:row>61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508885" y="1779270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2</xdr:col>
      <xdr:colOff>0</xdr:colOff>
      <xdr:row>61</xdr:row>
      <xdr:rowOff>0</xdr:rowOff>
    </xdr:from>
    <xdr:to>
      <xdr:col>10</xdr:col>
      <xdr:colOff>400050</xdr:colOff>
      <xdr:row>63</xdr:row>
      <xdr:rowOff>219075</xdr:rowOff>
    </xdr:to>
    <xdr:sp macro="" textlink="">
      <xdr:nvSpPr>
        <xdr:cNvPr id="3" name="Object 1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47875" y="17792700"/>
          <a:ext cx="53340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oneCellAnchor>
    <xdr:from>
      <xdr:col>2</xdr:col>
      <xdr:colOff>461596</xdr:colOff>
      <xdr:row>70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508885" y="2022157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70</xdr:row>
      <xdr:rowOff>0</xdr:rowOff>
    </xdr:from>
    <xdr:ext cx="5334000" cy="752475"/>
    <xdr:sp macro="" textlink="">
      <xdr:nvSpPr>
        <xdr:cNvPr id="6" name="Object 1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047875" y="20221575"/>
          <a:ext cx="53340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oneCellAnchor>
  <xdr:oneCellAnchor>
    <xdr:from>
      <xdr:col>2</xdr:col>
      <xdr:colOff>461596</xdr:colOff>
      <xdr:row>79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08885" y="2309812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79</xdr:row>
      <xdr:rowOff>0</xdr:rowOff>
    </xdr:from>
    <xdr:ext cx="5334000" cy="752475"/>
    <xdr:sp macro="" textlink="">
      <xdr:nvSpPr>
        <xdr:cNvPr id="8" name="Object 1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7875" y="23098125"/>
          <a:ext cx="53340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oneCellAnchor>
  <xdr:oneCellAnchor>
    <xdr:from>
      <xdr:col>2</xdr:col>
      <xdr:colOff>266701</xdr:colOff>
      <xdr:row>88</xdr:row>
      <xdr:rowOff>0</xdr:rowOff>
    </xdr:from>
    <xdr:ext cx="194896" cy="762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 flipH="1">
          <a:off x="2314575" y="25555575"/>
          <a:ext cx="194310" cy="76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88</xdr:row>
      <xdr:rowOff>0</xdr:rowOff>
    </xdr:from>
    <xdr:ext cx="5334000" cy="752475"/>
    <xdr:sp macro="" textlink="">
      <xdr:nvSpPr>
        <xdr:cNvPr id="10" name="Object 1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47875" y="25555575"/>
          <a:ext cx="53340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oneCellAnchor>
  <xdr:oneCellAnchor>
    <xdr:from>
      <xdr:col>2</xdr:col>
      <xdr:colOff>461596</xdr:colOff>
      <xdr:row>79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885" y="2309812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461596</xdr:colOff>
      <xdr:row>88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508885" y="2555557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461596</xdr:colOff>
      <xdr:row>88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508885" y="2555557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266701</xdr:colOff>
      <xdr:row>100</xdr:row>
      <xdr:rowOff>0</xdr:rowOff>
    </xdr:from>
    <xdr:ext cx="194896" cy="762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 flipH="1">
          <a:off x="2314575" y="28755975"/>
          <a:ext cx="194310" cy="76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100</xdr:row>
      <xdr:rowOff>0</xdr:rowOff>
    </xdr:from>
    <xdr:ext cx="5334000" cy="752475"/>
    <xdr:sp macro="" textlink="">
      <xdr:nvSpPr>
        <xdr:cNvPr id="15" name="Object 1" hidden="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047875" y="28755975"/>
          <a:ext cx="53340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oneCellAnchor>
  <xdr:oneCellAnchor>
    <xdr:from>
      <xdr:col>2</xdr:col>
      <xdr:colOff>461596</xdr:colOff>
      <xdr:row>100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508885" y="2875597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461596</xdr:colOff>
      <xdr:row>100</xdr:row>
      <xdr:rowOff>0</xdr:rowOff>
    </xdr:from>
    <xdr:ext cx="216534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2508885" y="28755975"/>
          <a:ext cx="21653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ru-RU" sz="1100"/>
            <a:t> </a:t>
          </a:r>
        </a:p>
      </xdr:txBody>
    </xdr:sp>
    <xdr:clientData/>
  </xdr:oneCellAnchor>
  <xdr:oneCellAnchor>
    <xdr:from>
      <xdr:col>2</xdr:col>
      <xdr:colOff>266701</xdr:colOff>
      <xdr:row>108</xdr:row>
      <xdr:rowOff>0</xdr:rowOff>
    </xdr:from>
    <xdr:ext cx="194896" cy="7620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 flipH="1">
          <a:off x="2314575" y="31232475"/>
          <a:ext cx="194310" cy="76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108</xdr:row>
      <xdr:rowOff>0</xdr:rowOff>
    </xdr:from>
    <xdr:ext cx="5334000" cy="752475"/>
    <xdr:sp macro="" textlink="">
      <xdr:nvSpPr>
        <xdr:cNvPr id="19" name="Object 1" hidden="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047875" y="31232475"/>
          <a:ext cx="53340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oneCellAnchor>
  <xdr:oneCellAnchor>
    <xdr:from>
      <xdr:col>2</xdr:col>
      <xdr:colOff>461596</xdr:colOff>
      <xdr:row>108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2508885" y="3123247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461596</xdr:colOff>
      <xdr:row>108</xdr:row>
      <xdr:rowOff>0</xdr:rowOff>
    </xdr:from>
    <xdr:ext cx="216534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508885" y="31232475"/>
          <a:ext cx="21653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ru-RU" sz="1100"/>
            <a:t> </a:t>
          </a:r>
        </a:p>
      </xdr:txBody>
    </xdr:sp>
    <xdr:clientData/>
  </xdr:oneCellAnchor>
  <xdr:oneCellAnchor>
    <xdr:from>
      <xdr:col>2</xdr:col>
      <xdr:colOff>266701</xdr:colOff>
      <xdr:row>116</xdr:row>
      <xdr:rowOff>0</xdr:rowOff>
    </xdr:from>
    <xdr:ext cx="194896" cy="762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 flipH="1">
          <a:off x="2314575" y="34213800"/>
          <a:ext cx="194310" cy="76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116</xdr:row>
      <xdr:rowOff>0</xdr:rowOff>
    </xdr:from>
    <xdr:ext cx="5334000" cy="752475"/>
    <xdr:sp macro="" textlink="">
      <xdr:nvSpPr>
        <xdr:cNvPr id="23" name="Object 1" hidden="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2047875" y="34213800"/>
          <a:ext cx="53340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oneCellAnchor>
  <xdr:oneCellAnchor>
    <xdr:from>
      <xdr:col>2</xdr:col>
      <xdr:colOff>461596</xdr:colOff>
      <xdr:row>116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508885" y="3421380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461596</xdr:colOff>
      <xdr:row>116</xdr:row>
      <xdr:rowOff>0</xdr:rowOff>
    </xdr:from>
    <xdr:ext cx="216534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2508885" y="34213800"/>
          <a:ext cx="21653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ru-RU" sz="1100"/>
            <a:t> </a:t>
          </a:r>
        </a:p>
      </xdr:txBody>
    </xdr:sp>
    <xdr:clientData/>
  </xdr:oneCellAnchor>
  <xdr:oneCellAnchor>
    <xdr:from>
      <xdr:col>2</xdr:col>
      <xdr:colOff>266701</xdr:colOff>
      <xdr:row>124</xdr:row>
      <xdr:rowOff>0</xdr:rowOff>
    </xdr:from>
    <xdr:ext cx="194896" cy="762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2314575" y="35556825"/>
          <a:ext cx="194310" cy="76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124</xdr:row>
      <xdr:rowOff>0</xdr:rowOff>
    </xdr:from>
    <xdr:ext cx="5334000" cy="752475"/>
    <xdr:sp macro="" textlink="">
      <xdr:nvSpPr>
        <xdr:cNvPr id="27" name="Object 1" hidden="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047875" y="35556825"/>
          <a:ext cx="53340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oneCellAnchor>
  <xdr:oneCellAnchor>
    <xdr:from>
      <xdr:col>2</xdr:col>
      <xdr:colOff>461596</xdr:colOff>
      <xdr:row>124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2508885" y="3555682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461596</xdr:colOff>
      <xdr:row>124</xdr:row>
      <xdr:rowOff>0</xdr:rowOff>
    </xdr:from>
    <xdr:ext cx="216534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2508885" y="35556825"/>
          <a:ext cx="21653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ru-RU" sz="1100"/>
            <a:t> </a:t>
          </a:r>
        </a:p>
      </xdr:txBody>
    </xdr:sp>
    <xdr:clientData/>
  </xdr:oneCellAnchor>
  <xdr:oneCellAnchor>
    <xdr:from>
      <xdr:col>2</xdr:col>
      <xdr:colOff>266701</xdr:colOff>
      <xdr:row>132</xdr:row>
      <xdr:rowOff>0</xdr:rowOff>
    </xdr:from>
    <xdr:ext cx="194896" cy="7620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 flipH="1">
          <a:off x="2314575" y="36776025"/>
          <a:ext cx="194310" cy="76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132</xdr:row>
      <xdr:rowOff>0</xdr:rowOff>
    </xdr:from>
    <xdr:ext cx="5334000" cy="752475"/>
    <xdr:sp macro="" textlink="">
      <xdr:nvSpPr>
        <xdr:cNvPr id="31" name="Object 1" hidden="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047875" y="36776025"/>
          <a:ext cx="53340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oneCellAnchor>
  <xdr:oneCellAnchor>
    <xdr:from>
      <xdr:col>2</xdr:col>
      <xdr:colOff>461596</xdr:colOff>
      <xdr:row>132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508885" y="3677602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461596</xdr:colOff>
      <xdr:row>132</xdr:row>
      <xdr:rowOff>0</xdr:rowOff>
    </xdr:from>
    <xdr:ext cx="216534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2508885" y="36776025"/>
          <a:ext cx="21653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ru-RU" sz="1100"/>
            <a:t> </a:t>
          </a:r>
        </a:p>
      </xdr:txBody>
    </xdr:sp>
    <xdr:clientData/>
  </xdr:oneCellAnchor>
  <xdr:oneCellAnchor>
    <xdr:from>
      <xdr:col>2</xdr:col>
      <xdr:colOff>266701</xdr:colOff>
      <xdr:row>143</xdr:row>
      <xdr:rowOff>0</xdr:rowOff>
    </xdr:from>
    <xdr:ext cx="194896" cy="7620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 flipH="1">
          <a:off x="2314575" y="38579425"/>
          <a:ext cx="194310" cy="76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143</xdr:row>
      <xdr:rowOff>0</xdr:rowOff>
    </xdr:from>
    <xdr:ext cx="5334000" cy="752475"/>
    <xdr:sp macro="" textlink="">
      <xdr:nvSpPr>
        <xdr:cNvPr id="35" name="Object 1" hidden="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047875" y="38579425"/>
          <a:ext cx="53340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oneCellAnchor>
  <xdr:oneCellAnchor>
    <xdr:from>
      <xdr:col>2</xdr:col>
      <xdr:colOff>461596</xdr:colOff>
      <xdr:row>143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2508885" y="3857942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461596</xdr:colOff>
      <xdr:row>143</xdr:row>
      <xdr:rowOff>0</xdr:rowOff>
    </xdr:from>
    <xdr:ext cx="216534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2508885" y="38579425"/>
          <a:ext cx="21653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ru-RU" sz="1100"/>
            <a:t> </a:t>
          </a:r>
        </a:p>
      </xdr:txBody>
    </xdr:sp>
    <xdr:clientData/>
  </xdr:oneCellAnchor>
  <xdr:oneCellAnchor>
    <xdr:from>
      <xdr:col>2</xdr:col>
      <xdr:colOff>266701</xdr:colOff>
      <xdr:row>152</xdr:row>
      <xdr:rowOff>0</xdr:rowOff>
    </xdr:from>
    <xdr:ext cx="194896" cy="7620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 flipH="1">
          <a:off x="2314575" y="39951025"/>
          <a:ext cx="194310" cy="76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152</xdr:row>
      <xdr:rowOff>0</xdr:rowOff>
    </xdr:from>
    <xdr:ext cx="5334000" cy="752475"/>
    <xdr:sp macro="" textlink="">
      <xdr:nvSpPr>
        <xdr:cNvPr id="39" name="Object 1" hidden="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2047875" y="39951025"/>
          <a:ext cx="53340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oneCellAnchor>
  <xdr:oneCellAnchor>
    <xdr:from>
      <xdr:col>2</xdr:col>
      <xdr:colOff>461596</xdr:colOff>
      <xdr:row>152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2508885" y="3995102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461596</xdr:colOff>
      <xdr:row>152</xdr:row>
      <xdr:rowOff>0</xdr:rowOff>
    </xdr:from>
    <xdr:ext cx="216534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2508885" y="39951025"/>
          <a:ext cx="21653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ru-RU" sz="1100"/>
            <a:t> </a:t>
          </a:r>
        </a:p>
      </xdr:txBody>
    </xdr:sp>
    <xdr:clientData/>
  </xdr:oneCellAnchor>
  <xdr:oneCellAnchor>
    <xdr:from>
      <xdr:col>2</xdr:col>
      <xdr:colOff>266701</xdr:colOff>
      <xdr:row>162</xdr:row>
      <xdr:rowOff>0</xdr:rowOff>
    </xdr:from>
    <xdr:ext cx="194896" cy="7620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 flipH="1">
          <a:off x="2314575" y="41484550"/>
          <a:ext cx="194310" cy="76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162</xdr:row>
      <xdr:rowOff>0</xdr:rowOff>
    </xdr:from>
    <xdr:ext cx="5334000" cy="752475"/>
    <xdr:sp macro="" textlink="">
      <xdr:nvSpPr>
        <xdr:cNvPr id="43" name="Object 1" hidden="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2047875" y="41484550"/>
          <a:ext cx="53340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oneCellAnchor>
  <xdr:oneCellAnchor>
    <xdr:from>
      <xdr:col>2</xdr:col>
      <xdr:colOff>461596</xdr:colOff>
      <xdr:row>162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2508885" y="4148455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266701</xdr:colOff>
      <xdr:row>166</xdr:row>
      <xdr:rowOff>0</xdr:rowOff>
    </xdr:from>
    <xdr:ext cx="194896" cy="7620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 flipH="1">
          <a:off x="2314575" y="42237025"/>
          <a:ext cx="194310" cy="76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461596</xdr:colOff>
      <xdr:row>166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2508885" y="4223702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266701</xdr:colOff>
      <xdr:row>170</xdr:row>
      <xdr:rowOff>0</xdr:rowOff>
    </xdr:from>
    <xdr:ext cx="194896" cy="7620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 flipH="1">
          <a:off x="2314575" y="42999025"/>
          <a:ext cx="194310" cy="76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170</xdr:row>
      <xdr:rowOff>0</xdr:rowOff>
    </xdr:from>
    <xdr:ext cx="5334000" cy="752475"/>
    <xdr:sp macro="" textlink="">
      <xdr:nvSpPr>
        <xdr:cNvPr id="53" name="Object 1" hidden="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47875" y="42999025"/>
          <a:ext cx="53340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oneCellAnchor>
  <xdr:oneCellAnchor>
    <xdr:from>
      <xdr:col>2</xdr:col>
      <xdr:colOff>461596</xdr:colOff>
      <xdr:row>170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2508885" y="4299902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461596</xdr:colOff>
      <xdr:row>170</xdr:row>
      <xdr:rowOff>0</xdr:rowOff>
    </xdr:from>
    <xdr:ext cx="216534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508885" y="42999025"/>
          <a:ext cx="21653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ru-RU" sz="1100"/>
            <a:t> </a:t>
          </a:r>
        </a:p>
      </xdr:txBody>
    </xdr:sp>
    <xdr:clientData/>
  </xdr:oneCellAnchor>
  <xdr:oneCellAnchor>
    <xdr:from>
      <xdr:col>2</xdr:col>
      <xdr:colOff>266701</xdr:colOff>
      <xdr:row>178</xdr:row>
      <xdr:rowOff>0</xdr:rowOff>
    </xdr:from>
    <xdr:ext cx="194896" cy="7620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 flipH="1">
          <a:off x="2314575" y="44218225"/>
          <a:ext cx="194310" cy="76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178</xdr:row>
      <xdr:rowOff>0</xdr:rowOff>
    </xdr:from>
    <xdr:ext cx="5334000" cy="752475"/>
    <xdr:sp macro="" textlink="">
      <xdr:nvSpPr>
        <xdr:cNvPr id="57" name="Object 1" hidden="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47875" y="44218225"/>
          <a:ext cx="53340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oneCellAnchor>
  <xdr:oneCellAnchor>
    <xdr:from>
      <xdr:col>2</xdr:col>
      <xdr:colOff>461596</xdr:colOff>
      <xdr:row>178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2508885" y="44218225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461596</xdr:colOff>
      <xdr:row>178</xdr:row>
      <xdr:rowOff>0</xdr:rowOff>
    </xdr:from>
    <xdr:ext cx="216534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2508885" y="44218225"/>
          <a:ext cx="21653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ru-RU" sz="1100"/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461596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08885" y="579120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sp macro="" textlink="">
      <xdr:nvSpPr>
        <xdr:cNvPr id="3" name="Object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461596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508885" y="579120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sp macro="" textlink="">
      <xdr:nvSpPr>
        <xdr:cNvPr id="3" name="Object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461596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508885" y="579120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sp macro="" textlink="">
      <xdr:nvSpPr>
        <xdr:cNvPr id="3" name="Object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461596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508885" y="579120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sp macro="" textlink="">
      <xdr:nvSpPr>
        <xdr:cNvPr id="3" name="Object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461596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08885" y="579120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sp macro="" textlink="">
      <xdr:nvSpPr>
        <xdr:cNvPr id="3" name="Object 1" hidden="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461596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2508885" y="579120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sp macro="" textlink="">
      <xdr:nvSpPr>
        <xdr:cNvPr id="3" name="Object 1" hidden="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461596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2508885" y="579120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sp macro="" textlink="">
      <xdr:nvSpPr>
        <xdr:cNvPr id="3" name="Object 1" hidden="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461596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2508885" y="579120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sp macro="" textlink="">
      <xdr:nvSpPr>
        <xdr:cNvPr id="3" name="Object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461596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2508885" y="579120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sp macro="" textlink="">
      <xdr:nvSpPr>
        <xdr:cNvPr id="3" name="Object 1" hidden="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461596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2508885" y="579120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sp macro="" textlink="">
      <xdr:nvSpPr>
        <xdr:cNvPr id="3" name="Object 1" hidden="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461596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2508885" y="579120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sp macro="" textlink="">
      <xdr:nvSpPr>
        <xdr:cNvPr id="3" name="Object 1" hidden="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461596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2508885" y="5791200"/>
          <a:ext cx="184785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sp macro="" textlink="">
      <xdr:nvSpPr>
        <xdr:cNvPr id="3" name="Object 1" hidden="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</xdr:sp>
    <xdr:clientData/>
  </xdr:twoCellAnchor>
  <xdr:twoCellAnchor editAs="oneCell">
    <xdr:from>
      <xdr:col>2</xdr:col>
      <xdr:colOff>0</xdr:colOff>
      <xdr:row>6</xdr:row>
      <xdr:rowOff>9525</xdr:rowOff>
    </xdr:from>
    <xdr:to>
      <xdr:col>19</xdr:col>
      <xdr:colOff>400050</xdr:colOff>
      <xdr:row>6</xdr:row>
      <xdr:rowOff>400050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47875" y="1609725"/>
          <a:ext cx="5334000" cy="390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10"/>
  <sheetViews>
    <sheetView topLeftCell="A25" workbookViewId="0">
      <selection activeCell="AA105" sqref="AA105"/>
    </sheetView>
  </sheetViews>
  <sheetFormatPr defaultColWidth="9.140625" defaultRowHeight="12" x14ac:dyDescent="0.25"/>
  <cols>
    <col min="1" max="1" width="5" style="165" customWidth="1"/>
    <col min="2" max="2" width="25.7109375" style="165" customWidth="1"/>
    <col min="3" max="3" width="18" style="165" customWidth="1"/>
    <col min="4" max="4" width="12" style="165" customWidth="1"/>
    <col min="5" max="7" width="6.7109375" style="165" customWidth="1"/>
    <col min="8" max="8" width="8.28515625" style="165" customWidth="1"/>
    <col min="9" max="9" width="8" style="165" customWidth="1"/>
    <col min="10" max="10" width="7.5703125" style="165" customWidth="1"/>
    <col min="11" max="11" width="8.140625" style="165" customWidth="1"/>
    <col min="12" max="12" width="7.7109375" style="165" customWidth="1"/>
    <col min="13" max="14" width="6.140625" style="165" customWidth="1"/>
    <col min="15" max="17" width="6.5703125" style="165" customWidth="1"/>
    <col min="18" max="18" width="7" style="165" customWidth="1"/>
    <col min="19" max="19" width="6.28515625" style="165" customWidth="1"/>
    <col min="20" max="20" width="7.140625" style="165" customWidth="1"/>
    <col min="21" max="23" width="8.28515625" style="165" customWidth="1"/>
    <col min="24" max="24" width="10.28515625" style="165" customWidth="1"/>
    <col min="25" max="25" width="10" style="165" customWidth="1"/>
    <col min="26" max="27" width="7.7109375" style="165" customWidth="1"/>
    <col min="28" max="28" width="8.5703125" style="165" customWidth="1"/>
    <col min="29" max="29" width="7.85546875" style="165" customWidth="1"/>
    <col min="30" max="30" width="9.140625" style="165"/>
    <col min="31" max="31" width="32.28515625" style="165" customWidth="1"/>
    <col min="32" max="32" width="17.42578125" style="165" customWidth="1"/>
    <col min="33" max="33" width="16" style="165" customWidth="1"/>
    <col min="34" max="16384" width="9.140625" style="165"/>
  </cols>
  <sheetData>
    <row r="1" spans="1:33" ht="18" customHeight="1" x14ac:dyDescent="0.25">
      <c r="A1" s="376" t="s">
        <v>0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  <c r="AA1" s="376"/>
      <c r="AB1" s="376"/>
      <c r="AC1" s="376"/>
    </row>
    <row r="2" spans="1:33" ht="21" customHeight="1" x14ac:dyDescent="0.25">
      <c r="A2" s="377" t="s">
        <v>1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  <c r="W2" s="377"/>
      <c r="X2" s="377"/>
      <c r="Y2" s="377"/>
      <c r="Z2" s="377"/>
      <c r="AA2" s="377"/>
      <c r="AB2" s="377"/>
      <c r="AC2" s="377"/>
    </row>
    <row r="3" spans="1:33" ht="61.5" customHeight="1" x14ac:dyDescent="0.25">
      <c r="A3" s="378" t="s">
        <v>2</v>
      </c>
      <c r="B3" s="378"/>
      <c r="C3" s="378"/>
      <c r="D3" s="378"/>
      <c r="E3" s="378"/>
      <c r="F3" s="378"/>
      <c r="G3" s="378"/>
      <c r="H3" s="378"/>
      <c r="I3" s="378"/>
      <c r="J3" s="378"/>
      <c r="K3" s="378"/>
      <c r="L3" s="378"/>
      <c r="M3" s="378"/>
      <c r="N3" s="378"/>
      <c r="O3" s="378"/>
      <c r="P3" s="378"/>
      <c r="Q3" s="378"/>
      <c r="R3" s="378"/>
      <c r="S3" s="378"/>
      <c r="T3" s="378"/>
      <c r="U3" s="378"/>
      <c r="V3" s="378"/>
      <c r="W3" s="378"/>
      <c r="X3" s="378"/>
      <c r="Y3" s="378"/>
      <c r="Z3" s="378"/>
      <c r="AA3" s="378"/>
      <c r="AB3" s="378"/>
      <c r="AC3" s="378"/>
    </row>
    <row r="4" spans="1:33" ht="16.5" customHeight="1" x14ac:dyDescent="0.25">
      <c r="A4" s="167" t="s">
        <v>3</v>
      </c>
      <c r="B4" s="379" t="s">
        <v>4</v>
      </c>
      <c r="C4" s="380"/>
      <c r="D4" s="380"/>
      <c r="E4" s="380"/>
      <c r="F4" s="380"/>
      <c r="G4" s="380"/>
      <c r="H4" s="380"/>
      <c r="I4" s="380"/>
      <c r="J4" s="380"/>
      <c r="K4" s="380"/>
      <c r="L4" s="380"/>
      <c r="M4" s="380"/>
      <c r="N4" s="380"/>
      <c r="O4" s="380"/>
      <c r="P4" s="380"/>
      <c r="Q4" s="380"/>
      <c r="R4" s="380"/>
      <c r="S4" s="380"/>
      <c r="T4" s="380"/>
      <c r="U4" s="380"/>
      <c r="V4" s="380"/>
      <c r="W4" s="380"/>
      <c r="X4" s="380"/>
      <c r="Y4" s="380"/>
      <c r="Z4" s="380"/>
      <c r="AA4" s="380"/>
      <c r="AB4" s="380"/>
      <c r="AC4" s="380"/>
      <c r="AE4" s="181"/>
      <c r="AF4" s="181"/>
      <c r="AG4" s="181"/>
    </row>
    <row r="5" spans="1:33" ht="17.25" customHeight="1" x14ac:dyDescent="0.25">
      <c r="A5" s="384"/>
      <c r="B5" s="439" t="s">
        <v>5</v>
      </c>
      <c r="C5" s="440"/>
      <c r="D5" s="441"/>
      <c r="E5" s="381" t="s">
        <v>6</v>
      </c>
      <c r="F5" s="382"/>
      <c r="G5" s="382"/>
      <c r="H5" s="382"/>
      <c r="I5" s="382"/>
      <c r="J5" s="382"/>
      <c r="K5" s="382"/>
      <c r="L5" s="382"/>
      <c r="M5" s="382"/>
      <c r="N5" s="382"/>
      <c r="O5" s="382"/>
      <c r="P5" s="382"/>
      <c r="Q5" s="382"/>
      <c r="R5" s="382"/>
      <c r="S5" s="382"/>
      <c r="T5" s="382"/>
      <c r="U5" s="382"/>
      <c r="V5" s="382"/>
      <c r="W5" s="382"/>
      <c r="X5" s="383"/>
      <c r="Y5" s="384" t="s">
        <v>7</v>
      </c>
      <c r="Z5" s="384"/>
      <c r="AA5" s="384"/>
      <c r="AB5" s="384"/>
      <c r="AC5" s="384"/>
      <c r="AE5" s="181"/>
      <c r="AF5" s="181"/>
    </row>
    <row r="6" spans="1:33" ht="25.5" customHeight="1" x14ac:dyDescent="0.25">
      <c r="A6" s="384"/>
      <c r="B6" s="381"/>
      <c r="C6" s="382"/>
      <c r="D6" s="383"/>
      <c r="E6" s="385" t="s">
        <v>8</v>
      </c>
      <c r="F6" s="386"/>
      <c r="G6" s="386"/>
      <c r="H6" s="386"/>
      <c r="I6" s="387"/>
      <c r="J6" s="385" t="s">
        <v>9</v>
      </c>
      <c r="K6" s="386"/>
      <c r="L6" s="386"/>
      <c r="M6" s="386"/>
      <c r="N6" s="387"/>
      <c r="O6" s="385" t="s">
        <v>10</v>
      </c>
      <c r="P6" s="386"/>
      <c r="Q6" s="386"/>
      <c r="R6" s="386"/>
      <c r="S6" s="387"/>
      <c r="T6" s="385" t="s">
        <v>11</v>
      </c>
      <c r="U6" s="386"/>
      <c r="V6" s="386"/>
      <c r="W6" s="386"/>
      <c r="X6" s="387"/>
      <c r="Y6" s="170" t="s">
        <v>8</v>
      </c>
      <c r="Z6" s="170" t="s">
        <v>9</v>
      </c>
      <c r="AA6" s="170" t="s">
        <v>10</v>
      </c>
      <c r="AB6" s="170" t="s">
        <v>11</v>
      </c>
      <c r="AC6" s="170" t="s">
        <v>12</v>
      </c>
      <c r="AE6" s="181"/>
      <c r="AF6" s="181"/>
    </row>
    <row r="7" spans="1:33" ht="25.5" customHeight="1" x14ac:dyDescent="0.25">
      <c r="A7" s="168"/>
      <c r="B7" s="168" t="s">
        <v>13</v>
      </c>
      <c r="C7" s="166" t="s">
        <v>14</v>
      </c>
      <c r="D7" s="166" t="s">
        <v>15</v>
      </c>
      <c r="E7" s="166">
        <v>5</v>
      </c>
      <c r="F7" s="166">
        <v>4</v>
      </c>
      <c r="G7" s="166">
        <v>3</v>
      </c>
      <c r="H7" s="166" t="s">
        <v>16</v>
      </c>
      <c r="I7" s="166" t="s">
        <v>17</v>
      </c>
      <c r="J7" s="166">
        <v>5</v>
      </c>
      <c r="K7" s="166">
        <v>4</v>
      </c>
      <c r="L7" s="166">
        <v>3</v>
      </c>
      <c r="M7" s="166" t="s">
        <v>16</v>
      </c>
      <c r="N7" s="166" t="s">
        <v>17</v>
      </c>
      <c r="O7" s="166">
        <v>5</v>
      </c>
      <c r="P7" s="166">
        <v>4</v>
      </c>
      <c r="Q7" s="166">
        <v>3</v>
      </c>
      <c r="R7" s="166" t="s">
        <v>16</v>
      </c>
      <c r="S7" s="166" t="s">
        <v>17</v>
      </c>
      <c r="T7" s="166">
        <v>5</v>
      </c>
      <c r="U7" s="166">
        <v>4</v>
      </c>
      <c r="V7" s="166">
        <v>3</v>
      </c>
      <c r="W7" s="166" t="s">
        <v>16</v>
      </c>
      <c r="X7" s="166" t="s">
        <v>17</v>
      </c>
      <c r="Y7" s="168" t="s">
        <v>7</v>
      </c>
      <c r="Z7" s="168" t="s">
        <v>7</v>
      </c>
      <c r="AA7" s="168" t="s">
        <v>7</v>
      </c>
      <c r="AB7" s="168" t="s">
        <v>7</v>
      </c>
      <c r="AC7" s="168"/>
      <c r="AE7" s="181"/>
      <c r="AF7" s="181"/>
    </row>
    <row r="8" spans="1:33" ht="21" customHeight="1" x14ac:dyDescent="0.25">
      <c r="A8" s="416" t="s">
        <v>18</v>
      </c>
      <c r="B8" s="384" t="s">
        <v>19</v>
      </c>
      <c r="C8" s="384" t="s">
        <v>20</v>
      </c>
      <c r="D8" s="168" t="s">
        <v>21</v>
      </c>
      <c r="E8" s="169">
        <v>2</v>
      </c>
      <c r="F8" s="169">
        <v>8</v>
      </c>
      <c r="G8" s="169">
        <v>5</v>
      </c>
      <c r="H8" s="169">
        <f>(E8*E7+F8*F7+G8*G7)/(E8+F8+G8)</f>
        <v>3.8</v>
      </c>
      <c r="I8" s="416">
        <f>(H8+H9+H10+H11)/4</f>
        <v>3.95</v>
      </c>
      <c r="J8" s="169">
        <v>2</v>
      </c>
      <c r="K8" s="169">
        <v>9</v>
      </c>
      <c r="L8" s="169">
        <v>4</v>
      </c>
      <c r="M8" s="169">
        <f>(J8*J7+K8*K7+L7*L8)/(J8+K8+L8)</f>
        <v>3.8666666666666698</v>
      </c>
      <c r="N8" s="416">
        <f>(M8+M9+M10+M11)/4</f>
        <v>3.9458333333333302</v>
      </c>
      <c r="O8" s="169">
        <v>2</v>
      </c>
      <c r="P8" s="169">
        <v>10</v>
      </c>
      <c r="Q8" s="169">
        <v>3</v>
      </c>
      <c r="R8" s="169">
        <f>(O8*O7+P8*P7+Q8*Q7)/(O8+P8+Q8)</f>
        <v>3.93333333333333</v>
      </c>
      <c r="S8" s="416">
        <f>(R8+R9+R10+R11)/4</f>
        <v>4.00416666666667</v>
      </c>
      <c r="T8" s="169">
        <v>3</v>
      </c>
      <c r="U8" s="169">
        <v>9</v>
      </c>
      <c r="V8" s="169">
        <v>3</v>
      </c>
      <c r="W8" s="169">
        <f>(T8*T7+U8*U7+V8*V7)/(T8+U8+V8)</f>
        <v>4</v>
      </c>
      <c r="X8" s="416">
        <f>(W11+W10+W9+W8)/4</f>
        <v>4.1041666666666696</v>
      </c>
      <c r="Y8" s="416">
        <f>I8/5*20</f>
        <v>15.8</v>
      </c>
      <c r="Z8" s="416">
        <f>N8*4</f>
        <v>15.783333333333299</v>
      </c>
      <c r="AA8" s="416">
        <f>S8*4</f>
        <v>16.016666666666701</v>
      </c>
      <c r="AB8" s="416">
        <f>X8*4</f>
        <v>16.4166666666667</v>
      </c>
      <c r="AC8" s="416"/>
    </row>
    <row r="9" spans="1:33" ht="21" customHeight="1" x14ac:dyDescent="0.25">
      <c r="A9" s="424"/>
      <c r="B9" s="384"/>
      <c r="C9" s="384"/>
      <c r="D9" s="168" t="s">
        <v>22</v>
      </c>
      <c r="E9" s="169">
        <v>4</v>
      </c>
      <c r="F9" s="169">
        <v>7</v>
      </c>
      <c r="G9" s="169">
        <v>1</v>
      </c>
      <c r="H9" s="169">
        <f>(E9*E7+F9*F7+G9*G7)/(E9+F9+G9)</f>
        <v>4.25</v>
      </c>
      <c r="I9" s="424"/>
      <c r="J9" s="169">
        <v>4</v>
      </c>
      <c r="K9" s="169">
        <v>7</v>
      </c>
      <c r="L9" s="169">
        <v>1</v>
      </c>
      <c r="M9" s="169">
        <f>(J9*J7+K9*K7+L9*L7)/(J9+K9+L9)</f>
        <v>4.25</v>
      </c>
      <c r="N9" s="424"/>
      <c r="O9" s="169">
        <v>4</v>
      </c>
      <c r="P9" s="169">
        <v>7</v>
      </c>
      <c r="Q9" s="169">
        <v>1</v>
      </c>
      <c r="R9" s="169">
        <f>(O9*O7+P9*P7+Q9*Q7)/(O9+P9+Q9)</f>
        <v>4.25</v>
      </c>
      <c r="S9" s="424"/>
      <c r="T9" s="169">
        <v>4</v>
      </c>
      <c r="U9" s="169">
        <v>8</v>
      </c>
      <c r="V9" s="169">
        <v>0</v>
      </c>
      <c r="W9" s="169">
        <f>(T9*T7+U9*U7+V9*V7)/(T9+U9+V9)</f>
        <v>4.3333333333333304</v>
      </c>
      <c r="X9" s="424"/>
      <c r="Y9" s="424"/>
      <c r="Z9" s="424"/>
      <c r="AA9" s="424"/>
      <c r="AB9" s="424"/>
      <c r="AC9" s="424"/>
    </row>
    <row r="10" spans="1:33" ht="21" customHeight="1" x14ac:dyDescent="0.25">
      <c r="A10" s="424"/>
      <c r="B10" s="384"/>
      <c r="C10" s="384"/>
      <c r="D10" s="168" t="s">
        <v>23</v>
      </c>
      <c r="E10" s="169">
        <v>0</v>
      </c>
      <c r="F10" s="169">
        <v>6</v>
      </c>
      <c r="G10" s="169">
        <v>6</v>
      </c>
      <c r="H10" s="169">
        <f>(E10*E7+F10*F7+G10*G7)/(E10+F10+G10)</f>
        <v>3.5</v>
      </c>
      <c r="I10" s="424"/>
      <c r="J10" s="169">
        <v>0</v>
      </c>
      <c r="K10" s="169">
        <v>6</v>
      </c>
      <c r="L10" s="169">
        <v>6</v>
      </c>
      <c r="M10" s="169">
        <f>(J10*J7+K10*K7+L10*L7)/(J10+K10+L10)</f>
        <v>3.5</v>
      </c>
      <c r="N10" s="424"/>
      <c r="O10" s="169">
        <v>1</v>
      </c>
      <c r="P10" s="169">
        <v>5</v>
      </c>
      <c r="Q10" s="169">
        <v>6</v>
      </c>
      <c r="R10" s="169">
        <f>(O10*O7+P10*P7+Q10*Q7)/(O10+P10+Q10)</f>
        <v>3.5833333333333299</v>
      </c>
      <c r="S10" s="424"/>
      <c r="T10" s="169">
        <v>0</v>
      </c>
      <c r="U10" s="169">
        <v>8</v>
      </c>
      <c r="V10" s="169">
        <v>4</v>
      </c>
      <c r="W10" s="169">
        <f>(T10*T7+U10*U7+V10*V7)/(T10+U10+V10)</f>
        <v>3.6666666666666701</v>
      </c>
      <c r="X10" s="424"/>
      <c r="Y10" s="424"/>
      <c r="Z10" s="424"/>
      <c r="AA10" s="424"/>
      <c r="AB10" s="424"/>
      <c r="AC10" s="424"/>
    </row>
    <row r="11" spans="1:33" ht="21" customHeight="1" x14ac:dyDescent="0.25">
      <c r="A11" s="425"/>
      <c r="B11" s="384"/>
      <c r="C11" s="384"/>
      <c r="D11" s="168" t="s">
        <v>24</v>
      </c>
      <c r="E11" s="169">
        <v>4</v>
      </c>
      <c r="F11" s="169">
        <v>7</v>
      </c>
      <c r="G11" s="169">
        <v>1</v>
      </c>
      <c r="H11" s="169">
        <f>(E11*E7+F11*F7+G11*G7)/(E11+F11+G11)</f>
        <v>4.25</v>
      </c>
      <c r="I11" s="425"/>
      <c r="J11" s="169">
        <v>3</v>
      </c>
      <c r="K11" s="169">
        <v>8</v>
      </c>
      <c r="L11" s="169">
        <v>1</v>
      </c>
      <c r="M11" s="169">
        <f>(J11*J7+K11*K7+L11*L7)/(J11+K11+L11)</f>
        <v>4.1666666666666696</v>
      </c>
      <c r="N11" s="425"/>
      <c r="O11" s="169">
        <v>4</v>
      </c>
      <c r="P11" s="169">
        <v>7</v>
      </c>
      <c r="Q11" s="169">
        <v>1</v>
      </c>
      <c r="R11" s="169">
        <f>(O11*O7+P11*P7+Q11*Q7)/(O11+P11+Q11)</f>
        <v>4.25</v>
      </c>
      <c r="S11" s="425"/>
      <c r="T11" s="169">
        <v>5</v>
      </c>
      <c r="U11" s="169">
        <v>7</v>
      </c>
      <c r="V11" s="169">
        <v>0</v>
      </c>
      <c r="W11" s="169">
        <f>(T11*T7+U11*U7+V11*V7)/(T11+U11+V11)</f>
        <v>4.4166666666666696</v>
      </c>
      <c r="X11" s="425"/>
      <c r="Y11" s="425"/>
      <c r="Z11" s="425"/>
      <c r="AA11" s="425"/>
      <c r="AB11" s="425"/>
      <c r="AC11" s="424"/>
    </row>
    <row r="12" spans="1:33" ht="21" customHeight="1" x14ac:dyDescent="0.25">
      <c r="A12" s="416" t="s">
        <v>25</v>
      </c>
      <c r="B12" s="434" t="s">
        <v>26</v>
      </c>
      <c r="C12" s="384" t="s">
        <v>20</v>
      </c>
      <c r="D12" s="168" t="s">
        <v>21</v>
      </c>
      <c r="E12" s="169">
        <v>1</v>
      </c>
      <c r="F12" s="169">
        <v>11</v>
      </c>
      <c r="G12" s="169">
        <v>3</v>
      </c>
      <c r="H12" s="169">
        <f>(E12*E7+F12*F7+G12*G7)/(E12+F12+G12)</f>
        <v>3.8666666666666698</v>
      </c>
      <c r="I12" s="416">
        <f>(H12+H13+H14+H15)/4</f>
        <v>4.0708333333333302</v>
      </c>
      <c r="J12" s="169">
        <v>1</v>
      </c>
      <c r="K12" s="169">
        <v>11</v>
      </c>
      <c r="L12" s="169">
        <v>3</v>
      </c>
      <c r="M12" s="169">
        <f>(J12*J7+K12*K7+L12*L7)/(J12+K12+L12)</f>
        <v>3.8666666666666698</v>
      </c>
      <c r="N12" s="416">
        <f>(M12+M13+M14+M15)/4</f>
        <v>4.0916666666666703</v>
      </c>
      <c r="O12" s="169">
        <v>1</v>
      </c>
      <c r="P12" s="169">
        <v>11</v>
      </c>
      <c r="Q12" s="169">
        <v>3</v>
      </c>
      <c r="R12" s="169">
        <f>(O12*O7+P12*P7+Q12*Q7)/(O12+P12+Q12)</f>
        <v>3.8666666666666698</v>
      </c>
      <c r="S12" s="416">
        <f>(R12+R13+R14+R15)/4</f>
        <v>4.0916666666666703</v>
      </c>
      <c r="T12" s="169">
        <v>1</v>
      </c>
      <c r="U12" s="169">
        <v>12</v>
      </c>
      <c r="V12" s="169">
        <v>2</v>
      </c>
      <c r="W12" s="169">
        <f>(T12*T7+U12*U7+V12*V7)/(T12+U12+V12)</f>
        <v>3.93333333333333</v>
      </c>
      <c r="X12" s="416">
        <f>(W15+W14+W13+W12)/4</f>
        <v>4.12916666666667</v>
      </c>
      <c r="Y12" s="416">
        <f>I12/5*20</f>
        <v>16.283333333333299</v>
      </c>
      <c r="Z12" s="416">
        <f>N12*4</f>
        <v>16.366666666666699</v>
      </c>
      <c r="AA12" s="416">
        <f>S12*4</f>
        <v>16.366666666666699</v>
      </c>
      <c r="AB12" s="416">
        <f>X12*4</f>
        <v>16.516666666666701</v>
      </c>
      <c r="AC12" s="424"/>
    </row>
    <row r="13" spans="1:33" ht="21" customHeight="1" x14ac:dyDescent="0.25">
      <c r="A13" s="424"/>
      <c r="B13" s="434"/>
      <c r="C13" s="384"/>
      <c r="D13" s="168" t="s">
        <v>22</v>
      </c>
      <c r="E13" s="169">
        <v>3</v>
      </c>
      <c r="F13" s="169">
        <v>9</v>
      </c>
      <c r="G13" s="169"/>
      <c r="H13" s="169">
        <f>(E13*E7+F13*F7+G13*G7)/(E13+F13+G13)</f>
        <v>4.25</v>
      </c>
      <c r="I13" s="424"/>
      <c r="J13" s="169">
        <v>3</v>
      </c>
      <c r="K13" s="169">
        <v>9</v>
      </c>
      <c r="L13" s="169"/>
      <c r="M13" s="169">
        <f>(J13*J7+K13*K7+L13*L7)/(J13+K13+L13)</f>
        <v>4.25</v>
      </c>
      <c r="N13" s="424"/>
      <c r="O13" s="169">
        <v>3</v>
      </c>
      <c r="P13" s="169">
        <v>9</v>
      </c>
      <c r="Q13" s="169"/>
      <c r="R13" s="169">
        <f>(O13*O7+P13*P7+Q13*Q7)/(O13+P13+Q13)</f>
        <v>4.25</v>
      </c>
      <c r="S13" s="424"/>
      <c r="T13" s="169">
        <v>4</v>
      </c>
      <c r="U13" s="169">
        <v>8</v>
      </c>
      <c r="V13" s="169"/>
      <c r="W13" s="169">
        <f>(T13*T7+U13*U7+V13*V7)/(T13+U13+V13)</f>
        <v>4.3333333333333304</v>
      </c>
      <c r="X13" s="424"/>
      <c r="Y13" s="424"/>
      <c r="Z13" s="424"/>
      <c r="AA13" s="424"/>
      <c r="AB13" s="424"/>
      <c r="AC13" s="424"/>
    </row>
    <row r="14" spans="1:33" ht="21" customHeight="1" x14ac:dyDescent="0.25">
      <c r="A14" s="424"/>
      <c r="B14" s="434"/>
      <c r="C14" s="384"/>
      <c r="D14" s="168" t="s">
        <v>23</v>
      </c>
      <c r="E14" s="169">
        <v>1</v>
      </c>
      <c r="F14" s="169">
        <v>9</v>
      </c>
      <c r="G14" s="169">
        <v>2</v>
      </c>
      <c r="H14" s="169">
        <f>(E14*E7+F14*F7+G14*G7)/(E14+F14+G14)</f>
        <v>3.9166666666666701</v>
      </c>
      <c r="I14" s="424"/>
      <c r="J14" s="169">
        <v>1</v>
      </c>
      <c r="K14" s="169">
        <v>10</v>
      </c>
      <c r="L14" s="169">
        <v>1</v>
      </c>
      <c r="M14" s="169">
        <f>(J14*J7+K14*K7+L14*L7)/(J14+K14+L14)</f>
        <v>4</v>
      </c>
      <c r="N14" s="424"/>
      <c r="O14" s="169">
        <v>2</v>
      </c>
      <c r="P14" s="169">
        <v>8</v>
      </c>
      <c r="Q14" s="169">
        <v>2</v>
      </c>
      <c r="R14" s="169">
        <f>(O14*O7+P14*P7+Q14*Q7)/(O14+P14+Q14)</f>
        <v>4</v>
      </c>
      <c r="S14" s="424"/>
      <c r="T14" s="169">
        <v>1</v>
      </c>
      <c r="U14" s="169">
        <v>9</v>
      </c>
      <c r="V14" s="169">
        <v>2</v>
      </c>
      <c r="W14" s="169">
        <f>(T14*T7+U14*U7+V14*V7)/(T14+U14+V14)</f>
        <v>3.9166666666666701</v>
      </c>
      <c r="X14" s="424"/>
      <c r="Y14" s="424"/>
      <c r="Z14" s="424"/>
      <c r="AA14" s="424"/>
      <c r="AB14" s="424"/>
      <c r="AC14" s="424"/>
    </row>
    <row r="15" spans="1:33" ht="21" customHeight="1" x14ac:dyDescent="0.25">
      <c r="A15" s="425"/>
      <c r="B15" s="435"/>
      <c r="C15" s="384"/>
      <c r="D15" s="168" t="s">
        <v>24</v>
      </c>
      <c r="E15" s="169">
        <v>4</v>
      </c>
      <c r="F15" s="169">
        <v>7</v>
      </c>
      <c r="G15" s="169">
        <v>1</v>
      </c>
      <c r="H15" s="169">
        <f>(E15*E7+F15*F7+G15*G7)/(E15+F15+G15)</f>
        <v>4.25</v>
      </c>
      <c r="I15" s="425"/>
      <c r="J15" s="169">
        <v>4</v>
      </c>
      <c r="K15" s="169">
        <v>7</v>
      </c>
      <c r="L15" s="169">
        <v>1</v>
      </c>
      <c r="M15" s="169">
        <f>(J15*J7+K15*K7+L15*L7)/(J15+K15+L15)</f>
        <v>4.25</v>
      </c>
      <c r="N15" s="425"/>
      <c r="O15" s="169">
        <v>4</v>
      </c>
      <c r="P15" s="169">
        <v>7</v>
      </c>
      <c r="Q15" s="169">
        <v>1</v>
      </c>
      <c r="R15" s="169">
        <f>(O15*O7+P15*P7+Q15*Q7)/(O15+P15+Q15)</f>
        <v>4.25</v>
      </c>
      <c r="S15" s="425"/>
      <c r="T15" s="169">
        <v>4</v>
      </c>
      <c r="U15" s="169">
        <v>8</v>
      </c>
      <c r="V15" s="169">
        <v>0</v>
      </c>
      <c r="W15" s="169">
        <f>(T15*T7+U15*U7+V15*V7)/(T15+U15+V15)</f>
        <v>4.3333333333333304</v>
      </c>
      <c r="X15" s="425"/>
      <c r="Y15" s="425"/>
      <c r="Z15" s="425"/>
      <c r="AA15" s="425"/>
      <c r="AB15" s="424"/>
      <c r="AC15" s="425"/>
    </row>
    <row r="16" spans="1:33" ht="21" customHeight="1" x14ac:dyDescent="0.25">
      <c r="A16" s="171" t="s">
        <v>27</v>
      </c>
      <c r="B16" s="172" t="s">
        <v>28</v>
      </c>
      <c r="C16" s="389" t="s">
        <v>29</v>
      </c>
      <c r="D16" s="390"/>
      <c r="E16" s="390"/>
      <c r="F16" s="390"/>
      <c r="G16" s="390"/>
      <c r="H16" s="390"/>
      <c r="I16" s="390"/>
      <c r="J16" s="390"/>
      <c r="K16" s="390"/>
      <c r="L16" s="390"/>
      <c r="M16" s="390"/>
      <c r="N16" s="390"/>
      <c r="O16" s="390"/>
      <c r="P16" s="390"/>
      <c r="Q16" s="390"/>
      <c r="R16" s="390"/>
      <c r="S16" s="390"/>
      <c r="T16" s="390"/>
      <c r="U16" s="390"/>
      <c r="V16" s="390"/>
      <c r="W16" s="390"/>
      <c r="X16" s="391"/>
      <c r="Y16" s="182">
        <f>Y8+Y12</f>
        <v>32.0833333333333</v>
      </c>
      <c r="Z16" s="182">
        <f t="shared" ref="Z16:AB16" si="0">Z8+Z12</f>
        <v>32.15</v>
      </c>
      <c r="AA16" s="182">
        <f t="shared" si="0"/>
        <v>32.383333333333297</v>
      </c>
      <c r="AB16" s="182">
        <f t="shared" si="0"/>
        <v>32.933333333333302</v>
      </c>
      <c r="AC16" s="174">
        <f>Y16+Z16+AA16+AB16</f>
        <v>129.55000000000001</v>
      </c>
    </row>
    <row r="17" spans="1:29" ht="21" customHeight="1" x14ac:dyDescent="0.25">
      <c r="A17" s="416"/>
      <c r="B17" s="436" t="s">
        <v>30</v>
      </c>
      <c r="C17" s="437" t="s">
        <v>14</v>
      </c>
      <c r="D17" s="437"/>
      <c r="E17" s="384" t="s">
        <v>31</v>
      </c>
      <c r="F17" s="384"/>
      <c r="G17" s="384"/>
      <c r="H17" s="384"/>
      <c r="I17" s="384"/>
      <c r="J17" s="384" t="s">
        <v>32</v>
      </c>
      <c r="K17" s="384"/>
      <c r="L17" s="384"/>
      <c r="M17" s="384"/>
      <c r="N17" s="384"/>
      <c r="O17" s="384" t="s">
        <v>33</v>
      </c>
      <c r="P17" s="384"/>
      <c r="Q17" s="384"/>
      <c r="R17" s="384"/>
      <c r="S17" s="384"/>
      <c r="T17" s="384" t="s">
        <v>34</v>
      </c>
      <c r="U17" s="384"/>
      <c r="V17" s="384"/>
      <c r="W17" s="384"/>
      <c r="X17" s="392"/>
      <c r="Y17" s="183"/>
      <c r="Z17" s="181"/>
      <c r="AA17" s="181"/>
      <c r="AB17" s="181"/>
      <c r="AC17" s="181"/>
    </row>
    <row r="18" spans="1:29" ht="40.5" customHeight="1" x14ac:dyDescent="0.25">
      <c r="A18" s="425"/>
      <c r="B18" s="437"/>
      <c r="C18" s="437"/>
      <c r="D18" s="437"/>
      <c r="E18" s="173" t="s">
        <v>35</v>
      </c>
      <c r="F18" s="173" t="s">
        <v>36</v>
      </c>
      <c r="G18" s="173" t="s">
        <v>37</v>
      </c>
      <c r="H18" s="173" t="s">
        <v>38</v>
      </c>
      <c r="I18" s="173" t="s">
        <v>39</v>
      </c>
      <c r="J18" s="173" t="s">
        <v>35</v>
      </c>
      <c r="K18" s="173" t="s">
        <v>36</v>
      </c>
      <c r="L18" s="173" t="s">
        <v>37</v>
      </c>
      <c r="M18" s="173" t="s">
        <v>38</v>
      </c>
      <c r="N18" s="173" t="s">
        <v>39</v>
      </c>
      <c r="O18" s="173" t="s">
        <v>35</v>
      </c>
      <c r="P18" s="173" t="s">
        <v>36</v>
      </c>
      <c r="Q18" s="173" t="s">
        <v>37</v>
      </c>
      <c r="R18" s="173" t="s">
        <v>38</v>
      </c>
      <c r="S18" s="173" t="s">
        <v>39</v>
      </c>
      <c r="T18" s="180" t="s">
        <v>35</v>
      </c>
      <c r="U18" s="180" t="s">
        <v>36</v>
      </c>
      <c r="V18" s="180" t="s">
        <v>37</v>
      </c>
      <c r="W18" s="180" t="s">
        <v>38</v>
      </c>
      <c r="X18" s="173" t="s">
        <v>39</v>
      </c>
      <c r="Y18" s="184" t="s">
        <v>12</v>
      </c>
      <c r="Z18" s="181"/>
      <c r="AA18" s="181"/>
      <c r="AB18" s="181"/>
      <c r="AC18" s="181"/>
    </row>
    <row r="19" spans="1:29" ht="28.5" customHeight="1" x14ac:dyDescent="0.25">
      <c r="A19" s="416" t="s">
        <v>40</v>
      </c>
      <c r="B19" s="437" t="s">
        <v>41</v>
      </c>
      <c r="C19" s="393" t="s">
        <v>42</v>
      </c>
      <c r="D19" s="393"/>
      <c r="E19" s="173"/>
      <c r="F19" s="173"/>
      <c r="G19" s="173"/>
      <c r="H19" s="169"/>
      <c r="I19" s="416">
        <f>E19+F19+G19+E20+F20+G20+H19+H20+H21+H22+H23+H24+G24+G23+G22+G21+F21+F22+F23+F24+E24+E23+E22+E21</f>
        <v>8</v>
      </c>
      <c r="J19" s="173"/>
      <c r="K19" s="173"/>
      <c r="L19" s="173"/>
      <c r="M19" s="173"/>
      <c r="N19" s="416">
        <f>J19+M19+M20+M21+M22+M23+M24+L24+L23+L22+L21+L20+L19+K19+K20+K21+K22+K23+K24+J24+J23+J22+J21+J20</f>
        <v>10</v>
      </c>
      <c r="O19" s="173"/>
      <c r="P19" s="173"/>
      <c r="Q19" s="173"/>
      <c r="R19" s="173"/>
      <c r="S19" s="416">
        <f>O19+O23+O24+R19+Q19+P19+O20+P20+P21+O21+O22+Q20+R20+R21+Q21+Q22+R22+P22+P23+Q23+R23+R24+Q24+P24</f>
        <v>12</v>
      </c>
      <c r="T19" s="173"/>
      <c r="U19" s="173"/>
      <c r="V19" s="173"/>
      <c r="W19" s="173"/>
      <c r="X19" s="394">
        <f>W24+W23+W22+W21+W20+W19+V19+V20+V21+T22+T21+T20+T19+V22+V23+V24+U24+U23+U22+U21+U20+U19+T23+T24</f>
        <v>14</v>
      </c>
      <c r="Y19" s="388"/>
      <c r="Z19" s="181"/>
      <c r="AA19" s="181"/>
      <c r="AB19" s="181"/>
      <c r="AC19" s="181"/>
    </row>
    <row r="20" spans="1:29" ht="33.75" customHeight="1" x14ac:dyDescent="0.25">
      <c r="A20" s="424"/>
      <c r="B20" s="437"/>
      <c r="C20" s="393" t="s">
        <v>43</v>
      </c>
      <c r="D20" s="393"/>
      <c r="E20" s="169"/>
      <c r="F20" s="169"/>
      <c r="G20" s="169"/>
      <c r="H20" s="169"/>
      <c r="I20" s="424"/>
      <c r="J20" s="173"/>
      <c r="K20" s="173"/>
      <c r="L20" s="173"/>
      <c r="M20" s="173"/>
      <c r="N20" s="424"/>
      <c r="O20" s="173"/>
      <c r="P20" s="173"/>
      <c r="Q20" s="173"/>
      <c r="R20" s="173"/>
      <c r="S20" s="424"/>
      <c r="T20" s="173"/>
      <c r="U20" s="173"/>
      <c r="V20" s="173"/>
      <c r="W20" s="173"/>
      <c r="X20" s="394"/>
      <c r="Y20" s="388"/>
      <c r="Z20" s="181"/>
      <c r="AA20" s="181"/>
      <c r="AB20" s="181"/>
      <c r="AC20" s="181"/>
    </row>
    <row r="21" spans="1:29" ht="32.25" customHeight="1" x14ac:dyDescent="0.25">
      <c r="A21" s="424"/>
      <c r="B21" s="437"/>
      <c r="C21" s="393" t="s">
        <v>44</v>
      </c>
      <c r="D21" s="393"/>
      <c r="E21" s="173">
        <v>2</v>
      </c>
      <c r="F21" s="173">
        <v>2</v>
      </c>
      <c r="G21" s="173">
        <v>2</v>
      </c>
      <c r="H21" s="169">
        <v>2</v>
      </c>
      <c r="I21" s="424"/>
      <c r="J21" s="173"/>
      <c r="K21" s="173">
        <v>2</v>
      </c>
      <c r="L21" s="173"/>
      <c r="M21" s="173">
        <v>2</v>
      </c>
      <c r="N21" s="424"/>
      <c r="O21" s="173"/>
      <c r="P21" s="173"/>
      <c r="Q21" s="173"/>
      <c r="R21" s="173"/>
      <c r="S21" s="424"/>
      <c r="T21" s="173"/>
      <c r="U21" s="173"/>
      <c r="V21" s="173"/>
      <c r="W21" s="173"/>
      <c r="X21" s="394"/>
      <c r="Y21" s="388"/>
      <c r="Z21" s="181"/>
      <c r="AA21" s="181"/>
      <c r="AB21" s="181"/>
      <c r="AC21" s="181"/>
    </row>
    <row r="22" spans="1:29" ht="36.75" customHeight="1" x14ac:dyDescent="0.25">
      <c r="A22" s="424"/>
      <c r="B22" s="437"/>
      <c r="C22" s="393" t="s">
        <v>45</v>
      </c>
      <c r="D22" s="393"/>
      <c r="E22" s="173"/>
      <c r="F22" s="173"/>
      <c r="G22" s="173"/>
      <c r="H22" s="169"/>
      <c r="I22" s="424"/>
      <c r="J22" s="173">
        <v>3</v>
      </c>
      <c r="K22" s="173"/>
      <c r="L22" s="173">
        <v>3</v>
      </c>
      <c r="M22" s="173"/>
      <c r="N22" s="424"/>
      <c r="O22" s="173">
        <v>3</v>
      </c>
      <c r="P22" s="173">
        <v>3</v>
      </c>
      <c r="Q22" s="173">
        <v>3</v>
      </c>
      <c r="R22" s="173">
        <v>3</v>
      </c>
      <c r="S22" s="424"/>
      <c r="T22" s="173"/>
      <c r="U22" s="173">
        <v>3</v>
      </c>
      <c r="V22" s="173">
        <v>3</v>
      </c>
      <c r="W22" s="173"/>
      <c r="X22" s="394"/>
      <c r="Y22" s="388"/>
      <c r="Z22" s="181"/>
      <c r="AA22" s="181"/>
      <c r="AB22" s="181"/>
      <c r="AC22" s="181"/>
    </row>
    <row r="23" spans="1:29" ht="28.5" customHeight="1" x14ac:dyDescent="0.25">
      <c r="A23" s="424"/>
      <c r="B23" s="437"/>
      <c r="C23" s="393" t="s">
        <v>46</v>
      </c>
      <c r="D23" s="393"/>
      <c r="E23" s="173"/>
      <c r="F23" s="173"/>
      <c r="G23" s="173"/>
      <c r="H23" s="169"/>
      <c r="I23" s="424"/>
      <c r="J23" s="173"/>
      <c r="K23" s="173"/>
      <c r="L23" s="173"/>
      <c r="M23" s="173"/>
      <c r="N23" s="424"/>
      <c r="O23" s="173"/>
      <c r="P23" s="173"/>
      <c r="Q23" s="173"/>
      <c r="R23" s="173"/>
      <c r="S23" s="424"/>
      <c r="T23" s="173">
        <v>4</v>
      </c>
      <c r="U23" s="173"/>
      <c r="V23" s="173"/>
      <c r="W23" s="173">
        <v>4</v>
      </c>
      <c r="X23" s="394"/>
      <c r="Y23" s="388"/>
      <c r="Z23" s="181"/>
      <c r="AA23" s="181"/>
      <c r="AB23" s="181"/>
      <c r="AC23" s="181"/>
    </row>
    <row r="24" spans="1:29" ht="28.5" customHeight="1" x14ac:dyDescent="0.25">
      <c r="A24" s="425"/>
      <c r="B24" s="437"/>
      <c r="C24" s="393" t="s">
        <v>47</v>
      </c>
      <c r="D24" s="393"/>
      <c r="E24" s="173"/>
      <c r="F24" s="173"/>
      <c r="G24" s="173"/>
      <c r="H24" s="169"/>
      <c r="I24" s="425"/>
      <c r="J24" s="173"/>
      <c r="K24" s="173"/>
      <c r="L24" s="173"/>
      <c r="M24" s="173"/>
      <c r="N24" s="425"/>
      <c r="O24" s="173"/>
      <c r="P24" s="173"/>
      <c r="Q24" s="173"/>
      <c r="R24" s="173"/>
      <c r="S24" s="425"/>
      <c r="T24" s="173"/>
      <c r="U24" s="173"/>
      <c r="V24" s="173"/>
      <c r="W24" s="173"/>
      <c r="X24" s="394"/>
      <c r="Y24" s="388"/>
      <c r="Z24" s="181"/>
      <c r="AA24" s="181"/>
      <c r="AB24" s="181"/>
      <c r="AC24" s="181"/>
    </row>
    <row r="25" spans="1:29" ht="21" customHeight="1" x14ac:dyDescent="0.25">
      <c r="A25" s="390" t="s">
        <v>48</v>
      </c>
      <c r="B25" s="442"/>
      <c r="C25" s="442"/>
      <c r="D25" s="442"/>
      <c r="E25" s="442"/>
      <c r="F25" s="442"/>
      <c r="G25" s="442"/>
      <c r="H25" s="442"/>
      <c r="I25" s="442"/>
      <c r="J25" s="442"/>
      <c r="K25" s="442"/>
      <c r="L25" s="442"/>
      <c r="M25" s="442"/>
      <c r="N25" s="442"/>
      <c r="O25" s="442"/>
      <c r="P25" s="442"/>
      <c r="Q25" s="442"/>
      <c r="R25" s="442"/>
      <c r="S25" s="442"/>
      <c r="T25" s="442"/>
      <c r="U25" s="442"/>
      <c r="V25" s="442"/>
      <c r="W25" s="442"/>
      <c r="X25" s="442"/>
      <c r="Y25" s="174">
        <f>I19+N19+S19+X19</f>
        <v>44</v>
      </c>
      <c r="Z25" s="181"/>
      <c r="AA25" s="181"/>
      <c r="AB25" s="181"/>
      <c r="AC25" s="181"/>
    </row>
    <row r="26" spans="1:29" ht="21" customHeight="1" x14ac:dyDescent="0.25">
      <c r="A26" s="437" t="s">
        <v>49</v>
      </c>
      <c r="B26" s="437"/>
      <c r="C26" s="437" t="s">
        <v>14</v>
      </c>
      <c r="D26" s="437"/>
      <c r="E26" s="384" t="s">
        <v>31</v>
      </c>
      <c r="F26" s="384"/>
      <c r="G26" s="384"/>
      <c r="H26" s="384"/>
      <c r="I26" s="384"/>
      <c r="J26" s="384" t="s">
        <v>32</v>
      </c>
      <c r="K26" s="384"/>
      <c r="L26" s="384"/>
      <c r="M26" s="384"/>
      <c r="N26" s="384"/>
      <c r="O26" s="384" t="s">
        <v>33</v>
      </c>
      <c r="P26" s="384"/>
      <c r="Q26" s="384"/>
      <c r="R26" s="384"/>
      <c r="S26" s="384"/>
      <c r="T26" s="384" t="s">
        <v>34</v>
      </c>
      <c r="U26" s="384"/>
      <c r="V26" s="384"/>
      <c r="W26" s="384"/>
      <c r="X26" s="384"/>
      <c r="Y26" s="388" t="s">
        <v>17</v>
      </c>
      <c r="Z26" s="181"/>
      <c r="AA26" s="181"/>
      <c r="AB26" s="181"/>
      <c r="AC26" s="181"/>
    </row>
    <row r="27" spans="1:29" ht="21" customHeight="1" x14ac:dyDescent="0.25">
      <c r="A27" s="437"/>
      <c r="B27" s="437"/>
      <c r="C27" s="437"/>
      <c r="D27" s="437"/>
      <c r="E27" s="388" t="s">
        <v>37</v>
      </c>
      <c r="F27" s="388"/>
      <c r="G27" s="388"/>
      <c r="H27" s="388"/>
      <c r="I27" s="388"/>
      <c r="J27" s="388" t="s">
        <v>37</v>
      </c>
      <c r="K27" s="388"/>
      <c r="L27" s="388"/>
      <c r="M27" s="388"/>
      <c r="N27" s="388"/>
      <c r="O27" s="388" t="s">
        <v>37</v>
      </c>
      <c r="P27" s="388"/>
      <c r="Q27" s="388"/>
      <c r="R27" s="388"/>
      <c r="S27" s="388"/>
      <c r="T27" s="388" t="s">
        <v>37</v>
      </c>
      <c r="U27" s="388"/>
      <c r="V27" s="388"/>
      <c r="W27" s="388"/>
      <c r="X27" s="388"/>
      <c r="Y27" s="388"/>
      <c r="Z27" s="181"/>
      <c r="AA27" s="181"/>
      <c r="AB27" s="181"/>
      <c r="AC27" s="181"/>
    </row>
    <row r="28" spans="1:29" ht="21" customHeight="1" x14ac:dyDescent="0.25">
      <c r="A28" s="388" t="s">
        <v>50</v>
      </c>
      <c r="B28" s="393" t="s">
        <v>51</v>
      </c>
      <c r="C28" s="393" t="s">
        <v>52</v>
      </c>
      <c r="D28" s="393"/>
      <c r="E28" s="394">
        <v>10</v>
      </c>
      <c r="F28" s="395"/>
      <c r="G28" s="395"/>
      <c r="H28" s="395"/>
      <c r="I28" s="396"/>
      <c r="J28" s="394">
        <v>10</v>
      </c>
      <c r="K28" s="395"/>
      <c r="L28" s="395"/>
      <c r="M28" s="395"/>
      <c r="N28" s="396"/>
      <c r="O28" s="394">
        <v>10</v>
      </c>
      <c r="P28" s="395"/>
      <c r="Q28" s="395"/>
      <c r="R28" s="395"/>
      <c r="S28" s="396"/>
      <c r="T28" s="394">
        <v>10</v>
      </c>
      <c r="U28" s="395"/>
      <c r="V28" s="395"/>
      <c r="W28" s="395"/>
      <c r="X28" s="396"/>
      <c r="Y28" s="388">
        <f>E28+E29*(-1)+J28+J29*(-1)+O28+O29*(-1)+T28+T29*(-1)</f>
        <v>36</v>
      </c>
      <c r="Z28" s="181"/>
      <c r="AA28" s="181"/>
      <c r="AB28" s="181"/>
      <c r="AC28" s="181"/>
    </row>
    <row r="29" spans="1:29" ht="21" customHeight="1" x14ac:dyDescent="0.25">
      <c r="A29" s="388"/>
      <c r="B29" s="393"/>
      <c r="C29" s="388" t="s">
        <v>53</v>
      </c>
      <c r="D29" s="388"/>
      <c r="E29" s="394">
        <v>2</v>
      </c>
      <c r="F29" s="395"/>
      <c r="G29" s="395"/>
      <c r="H29" s="395"/>
      <c r="I29" s="396"/>
      <c r="J29" s="394">
        <v>1</v>
      </c>
      <c r="K29" s="395"/>
      <c r="L29" s="395"/>
      <c r="M29" s="395"/>
      <c r="N29" s="396"/>
      <c r="O29" s="394">
        <v>1</v>
      </c>
      <c r="P29" s="395"/>
      <c r="Q29" s="395"/>
      <c r="R29" s="395"/>
      <c r="S29" s="396"/>
      <c r="T29" s="394">
        <v>0</v>
      </c>
      <c r="U29" s="395"/>
      <c r="V29" s="395"/>
      <c r="W29" s="395"/>
      <c r="X29" s="396"/>
      <c r="Y29" s="388"/>
      <c r="Z29" s="181"/>
      <c r="AA29" s="181"/>
      <c r="AB29" s="181"/>
      <c r="AC29" s="181"/>
    </row>
    <row r="30" spans="1:29" ht="21" customHeight="1" x14ac:dyDescent="0.25">
      <c r="A30" s="388" t="s">
        <v>54</v>
      </c>
      <c r="B30" s="393" t="s">
        <v>55</v>
      </c>
      <c r="C30" s="388" t="s">
        <v>56</v>
      </c>
      <c r="D30" s="388"/>
      <c r="E30" s="394">
        <v>10</v>
      </c>
      <c r="F30" s="395"/>
      <c r="G30" s="395"/>
      <c r="H30" s="395"/>
      <c r="I30" s="396"/>
      <c r="J30" s="394">
        <v>10</v>
      </c>
      <c r="K30" s="395"/>
      <c r="L30" s="395"/>
      <c r="M30" s="395"/>
      <c r="N30" s="396"/>
      <c r="O30" s="394">
        <v>10</v>
      </c>
      <c r="P30" s="395"/>
      <c r="Q30" s="395"/>
      <c r="R30" s="395"/>
      <c r="S30" s="396"/>
      <c r="T30" s="394">
        <v>10</v>
      </c>
      <c r="U30" s="395"/>
      <c r="V30" s="395"/>
      <c r="W30" s="395"/>
      <c r="X30" s="396"/>
      <c r="Y30" s="388">
        <f>E30+E31*(-1)+J30+J31*(-1)+O30+O31*(-1)+T30+T31*(-1)</f>
        <v>40</v>
      </c>
      <c r="Z30" s="181"/>
      <c r="AA30" s="181"/>
      <c r="AB30" s="181"/>
      <c r="AC30" s="181"/>
    </row>
    <row r="31" spans="1:29" ht="21" customHeight="1" x14ac:dyDescent="0.25">
      <c r="A31" s="388"/>
      <c r="B31" s="393"/>
      <c r="C31" s="388" t="s">
        <v>53</v>
      </c>
      <c r="D31" s="388"/>
      <c r="E31" s="394">
        <v>0</v>
      </c>
      <c r="F31" s="395"/>
      <c r="G31" s="395"/>
      <c r="H31" s="395"/>
      <c r="I31" s="396"/>
      <c r="J31" s="394">
        <v>0</v>
      </c>
      <c r="K31" s="395"/>
      <c r="L31" s="395"/>
      <c r="M31" s="395"/>
      <c r="N31" s="396"/>
      <c r="O31" s="394">
        <v>0</v>
      </c>
      <c r="P31" s="395"/>
      <c r="Q31" s="395"/>
      <c r="R31" s="395"/>
      <c r="S31" s="396"/>
      <c r="T31" s="394">
        <v>0</v>
      </c>
      <c r="U31" s="395"/>
      <c r="V31" s="395"/>
      <c r="W31" s="395"/>
      <c r="X31" s="396"/>
      <c r="Y31" s="388"/>
      <c r="Z31" s="181"/>
      <c r="AA31" s="181"/>
      <c r="AB31" s="181"/>
      <c r="AC31" s="181"/>
    </row>
    <row r="32" spans="1:29" ht="21" customHeight="1" x14ac:dyDescent="0.25">
      <c r="A32" s="388" t="s">
        <v>57</v>
      </c>
      <c r="B32" s="388" t="s">
        <v>58</v>
      </c>
      <c r="C32" s="393" t="s">
        <v>59</v>
      </c>
      <c r="D32" s="393"/>
      <c r="E32" s="394">
        <v>10</v>
      </c>
      <c r="F32" s="395"/>
      <c r="G32" s="395"/>
      <c r="H32" s="395"/>
      <c r="I32" s="396"/>
      <c r="J32" s="394">
        <v>10</v>
      </c>
      <c r="K32" s="395"/>
      <c r="L32" s="395"/>
      <c r="M32" s="395"/>
      <c r="N32" s="396"/>
      <c r="O32" s="394">
        <v>10</v>
      </c>
      <c r="P32" s="395"/>
      <c r="Q32" s="395"/>
      <c r="R32" s="395"/>
      <c r="S32" s="396"/>
      <c r="T32" s="394">
        <v>10</v>
      </c>
      <c r="U32" s="395"/>
      <c r="V32" s="395"/>
      <c r="W32" s="395"/>
      <c r="X32" s="396"/>
      <c r="Y32" s="388">
        <f>E32+E33*(-1)+J32+J33*(-1)+O32+O33*(-1)+T32+T33*(-1)</f>
        <v>40</v>
      </c>
      <c r="Z32" s="181"/>
      <c r="AA32" s="181"/>
      <c r="AB32" s="181"/>
      <c r="AC32" s="181"/>
    </row>
    <row r="33" spans="1:29" ht="21" customHeight="1" x14ac:dyDescent="0.25">
      <c r="A33" s="388"/>
      <c r="B33" s="388"/>
      <c r="C33" s="393" t="s">
        <v>60</v>
      </c>
      <c r="D33" s="393"/>
      <c r="E33" s="394">
        <v>0</v>
      </c>
      <c r="F33" s="395"/>
      <c r="G33" s="395"/>
      <c r="H33" s="395"/>
      <c r="I33" s="396"/>
      <c r="J33" s="394">
        <v>0</v>
      </c>
      <c r="K33" s="395"/>
      <c r="L33" s="395"/>
      <c r="M33" s="395"/>
      <c r="N33" s="396"/>
      <c r="O33" s="394">
        <v>0</v>
      </c>
      <c r="P33" s="395"/>
      <c r="Q33" s="395"/>
      <c r="R33" s="395"/>
      <c r="S33" s="396"/>
      <c r="T33" s="394">
        <v>0</v>
      </c>
      <c r="U33" s="395"/>
      <c r="V33" s="395"/>
      <c r="W33" s="395"/>
      <c r="X33" s="396"/>
      <c r="Y33" s="388"/>
      <c r="Z33" s="181"/>
      <c r="AA33" s="181"/>
      <c r="AB33" s="181"/>
      <c r="AC33" s="181"/>
    </row>
    <row r="34" spans="1:29" ht="21" customHeight="1" x14ac:dyDescent="0.25">
      <c r="A34" s="388" t="s">
        <v>61</v>
      </c>
      <c r="B34" s="388" t="s">
        <v>62</v>
      </c>
      <c r="C34" s="397" t="s">
        <v>63</v>
      </c>
      <c r="D34" s="397"/>
      <c r="E34" s="394">
        <v>10</v>
      </c>
      <c r="F34" s="395"/>
      <c r="G34" s="395"/>
      <c r="H34" s="395"/>
      <c r="I34" s="396"/>
      <c r="J34" s="394">
        <v>10</v>
      </c>
      <c r="K34" s="395"/>
      <c r="L34" s="395"/>
      <c r="M34" s="395"/>
      <c r="N34" s="396"/>
      <c r="O34" s="394">
        <v>10</v>
      </c>
      <c r="P34" s="395"/>
      <c r="Q34" s="395"/>
      <c r="R34" s="395"/>
      <c r="S34" s="396"/>
      <c r="T34" s="394">
        <v>10</v>
      </c>
      <c r="U34" s="395"/>
      <c r="V34" s="395"/>
      <c r="W34" s="395"/>
      <c r="X34" s="396"/>
      <c r="Y34" s="388">
        <f>E34+E35*(-1)+E36*(-5)+J34+J35*(-1)+J36*(-5)+O34+O35*(-1)+O36*(-5)+T34+T35*(-1)+T36*(-5)</f>
        <v>39</v>
      </c>
      <c r="Z34" s="181"/>
      <c r="AA34" s="181"/>
      <c r="AB34" s="181"/>
      <c r="AC34" s="181"/>
    </row>
    <row r="35" spans="1:29" ht="21" customHeight="1" x14ac:dyDescent="0.25">
      <c r="A35" s="388"/>
      <c r="B35" s="388"/>
      <c r="C35" s="397" t="s">
        <v>64</v>
      </c>
      <c r="D35" s="397"/>
      <c r="E35" s="398">
        <v>1</v>
      </c>
      <c r="F35" s="399"/>
      <c r="G35" s="399"/>
      <c r="H35" s="399"/>
      <c r="I35" s="400"/>
      <c r="J35" s="394">
        <v>0</v>
      </c>
      <c r="K35" s="395"/>
      <c r="L35" s="395"/>
      <c r="M35" s="395"/>
      <c r="N35" s="396"/>
      <c r="O35" s="394">
        <v>0</v>
      </c>
      <c r="P35" s="395"/>
      <c r="Q35" s="395"/>
      <c r="R35" s="395"/>
      <c r="S35" s="396"/>
      <c r="T35" s="394">
        <v>0</v>
      </c>
      <c r="U35" s="395"/>
      <c r="V35" s="395"/>
      <c r="W35" s="395"/>
      <c r="X35" s="396"/>
      <c r="Y35" s="388"/>
      <c r="Z35" s="181"/>
      <c r="AA35" s="181"/>
      <c r="AB35" s="181"/>
      <c r="AC35" s="181"/>
    </row>
    <row r="36" spans="1:29" ht="21" customHeight="1" x14ac:dyDescent="0.25">
      <c r="A36" s="388"/>
      <c r="B36" s="388"/>
      <c r="C36" s="397" t="s">
        <v>65</v>
      </c>
      <c r="D36" s="397"/>
      <c r="E36" s="394">
        <v>0</v>
      </c>
      <c r="F36" s="395"/>
      <c r="G36" s="395"/>
      <c r="H36" s="395"/>
      <c r="I36" s="396"/>
      <c r="J36" s="394">
        <v>0</v>
      </c>
      <c r="K36" s="395"/>
      <c r="L36" s="395"/>
      <c r="M36" s="395"/>
      <c r="N36" s="396"/>
      <c r="O36" s="394">
        <v>0</v>
      </c>
      <c r="P36" s="395"/>
      <c r="Q36" s="395"/>
      <c r="R36" s="395"/>
      <c r="S36" s="396"/>
      <c r="T36" s="394">
        <v>0</v>
      </c>
      <c r="U36" s="395"/>
      <c r="V36" s="395"/>
      <c r="W36" s="395"/>
      <c r="X36" s="396"/>
      <c r="Y36" s="388"/>
      <c r="Z36" s="181"/>
      <c r="AA36" s="181"/>
      <c r="AB36" s="181"/>
      <c r="AC36" s="181"/>
    </row>
    <row r="37" spans="1:29" ht="21" customHeight="1" x14ac:dyDescent="0.25">
      <c r="A37" s="438" t="s">
        <v>66</v>
      </c>
      <c r="B37" s="438"/>
      <c r="C37" s="438"/>
      <c r="D37" s="438"/>
      <c r="E37" s="438"/>
      <c r="F37" s="438"/>
      <c r="G37" s="438"/>
      <c r="H37" s="438"/>
      <c r="I37" s="438"/>
      <c r="J37" s="438"/>
      <c r="K37" s="438"/>
      <c r="L37" s="438"/>
      <c r="M37" s="438"/>
      <c r="N37" s="438"/>
      <c r="O37" s="438"/>
      <c r="P37" s="438"/>
      <c r="Q37" s="438"/>
      <c r="R37" s="438"/>
      <c r="S37" s="438"/>
      <c r="T37" s="438"/>
      <c r="U37" s="438"/>
      <c r="V37" s="438"/>
      <c r="W37" s="438"/>
      <c r="X37" s="438"/>
      <c r="Y37" s="174">
        <f>Y28+Y30+Y32+Y34</f>
        <v>155</v>
      </c>
      <c r="Z37" s="181"/>
      <c r="AA37" s="181"/>
      <c r="AB37" s="181"/>
      <c r="AC37" s="181"/>
    </row>
    <row r="38" spans="1:29" ht="21" customHeight="1" x14ac:dyDescent="0.25">
      <c r="A38" s="438" t="s">
        <v>67</v>
      </c>
      <c r="B38" s="438"/>
      <c r="C38" s="438"/>
      <c r="D38" s="438"/>
      <c r="E38" s="438"/>
      <c r="F38" s="438"/>
      <c r="G38" s="438"/>
      <c r="H38" s="438"/>
      <c r="I38" s="438"/>
      <c r="J38" s="438"/>
      <c r="K38" s="438"/>
      <c r="L38" s="438"/>
      <c r="M38" s="438"/>
      <c r="N38" s="438"/>
      <c r="O38" s="438"/>
      <c r="P38" s="438"/>
      <c r="Q38" s="438"/>
      <c r="R38" s="438"/>
      <c r="S38" s="438"/>
      <c r="T38" s="438"/>
      <c r="U38" s="438"/>
      <c r="V38" s="438"/>
      <c r="W38" s="438"/>
      <c r="X38" s="438"/>
      <c r="Y38" s="174">
        <f>AC16+Y25+Y37</f>
        <v>328.55</v>
      </c>
      <c r="Z38" s="181"/>
      <c r="AA38" s="181"/>
      <c r="AB38" s="181"/>
      <c r="AC38" s="181"/>
    </row>
    <row r="39" spans="1:29" s="403" customFormat="1" ht="21" customHeight="1" x14ac:dyDescent="0.25"/>
    <row r="40" spans="1:29" ht="21" customHeight="1" x14ac:dyDescent="0.25">
      <c r="A40" s="404" t="s">
        <v>68</v>
      </c>
      <c r="B40" s="404"/>
      <c r="C40" s="404"/>
      <c r="D40" s="404"/>
      <c r="E40" s="404"/>
      <c r="F40" s="404"/>
      <c r="G40" s="404"/>
      <c r="H40" s="404"/>
      <c r="I40" s="404"/>
      <c r="J40" s="404"/>
      <c r="K40" s="404"/>
      <c r="L40" s="404"/>
      <c r="M40" s="404"/>
      <c r="N40" s="404"/>
      <c r="O40" s="404"/>
      <c r="P40" s="404"/>
      <c r="Q40" s="404"/>
      <c r="R40" s="404"/>
      <c r="S40" s="404"/>
      <c r="T40" s="404"/>
      <c r="U40" s="404"/>
      <c r="V40" s="404"/>
      <c r="W40" s="404"/>
      <c r="X40" s="404"/>
      <c r="Y40" s="164"/>
      <c r="Z40" s="181"/>
      <c r="AA40" s="181"/>
      <c r="AB40" s="181"/>
      <c r="AC40" s="181"/>
    </row>
    <row r="41" spans="1:29" ht="21" customHeight="1" x14ac:dyDescent="0.25">
      <c r="A41" s="414" t="s">
        <v>69</v>
      </c>
      <c r="B41" s="414"/>
      <c r="C41" s="414"/>
      <c r="D41" s="414"/>
      <c r="E41" s="414"/>
      <c r="F41" s="414"/>
      <c r="G41" s="414"/>
      <c r="H41" s="414"/>
      <c r="I41" s="414"/>
      <c r="J41" s="414"/>
      <c r="K41" s="414"/>
      <c r="L41" s="414"/>
      <c r="M41" s="414"/>
      <c r="N41" s="414"/>
      <c r="O41" s="414"/>
      <c r="P41" s="414"/>
      <c r="Q41" s="414"/>
      <c r="R41" s="414"/>
      <c r="S41" s="414"/>
      <c r="T41" s="414"/>
      <c r="U41" s="414"/>
      <c r="V41" s="414"/>
      <c r="W41" s="414"/>
      <c r="X41" s="414"/>
      <c r="Y41" s="164"/>
      <c r="Z41" s="181"/>
      <c r="AA41" s="181"/>
      <c r="AB41" s="181"/>
      <c r="AC41" s="181"/>
    </row>
    <row r="42" spans="1:29" ht="21" customHeight="1" x14ac:dyDescent="0.25">
      <c r="A42" s="177"/>
      <c r="B42" s="177"/>
      <c r="C42" s="177"/>
      <c r="D42" s="177"/>
      <c r="E42" s="384" t="s">
        <v>31</v>
      </c>
      <c r="F42" s="384"/>
      <c r="G42" s="384"/>
      <c r="H42" s="384"/>
      <c r="I42" s="384"/>
      <c r="J42" s="384" t="s">
        <v>32</v>
      </c>
      <c r="K42" s="384"/>
      <c r="L42" s="384"/>
      <c r="M42" s="384"/>
      <c r="N42" s="384"/>
      <c r="O42" s="384" t="s">
        <v>33</v>
      </c>
      <c r="P42" s="384"/>
      <c r="Q42" s="384"/>
      <c r="R42" s="384"/>
      <c r="S42" s="384"/>
      <c r="T42" s="384" t="s">
        <v>34</v>
      </c>
      <c r="U42" s="384"/>
      <c r="V42" s="384"/>
      <c r="W42" s="384"/>
      <c r="X42" s="384"/>
      <c r="Y42" s="164"/>
      <c r="Z42" s="181"/>
      <c r="AA42" s="181"/>
      <c r="AB42" s="181"/>
      <c r="AC42" s="181"/>
    </row>
    <row r="43" spans="1:29" ht="21" customHeight="1" x14ac:dyDescent="0.25">
      <c r="A43" s="177"/>
      <c r="B43" s="177"/>
      <c r="C43" s="402"/>
      <c r="D43" s="402"/>
      <c r="E43" s="388" t="s">
        <v>70</v>
      </c>
      <c r="F43" s="388"/>
      <c r="G43" s="388"/>
      <c r="H43" s="169" t="s">
        <v>7</v>
      </c>
      <c r="I43" s="169" t="s">
        <v>12</v>
      </c>
      <c r="J43" s="388" t="s">
        <v>70</v>
      </c>
      <c r="K43" s="388"/>
      <c r="L43" s="388"/>
      <c r="M43" s="169" t="s">
        <v>7</v>
      </c>
      <c r="N43" s="169" t="s">
        <v>12</v>
      </c>
      <c r="O43" s="388" t="s">
        <v>70</v>
      </c>
      <c r="P43" s="388"/>
      <c r="Q43" s="388"/>
      <c r="R43" s="169" t="s">
        <v>7</v>
      </c>
      <c r="S43" s="169" t="s">
        <v>12</v>
      </c>
      <c r="T43" s="388" t="s">
        <v>70</v>
      </c>
      <c r="U43" s="388"/>
      <c r="V43" s="388"/>
      <c r="W43" s="169" t="s">
        <v>7</v>
      </c>
      <c r="X43" s="169" t="s">
        <v>12</v>
      </c>
      <c r="Y43" s="164"/>
      <c r="Z43" s="181"/>
      <c r="AA43" s="181"/>
      <c r="AB43" s="181"/>
      <c r="AC43" s="181"/>
    </row>
    <row r="44" spans="1:29" ht="21" customHeight="1" x14ac:dyDescent="0.25">
      <c r="A44" s="419" t="s">
        <v>71</v>
      </c>
      <c r="B44" s="401" t="s">
        <v>72</v>
      </c>
      <c r="C44" s="401" t="s">
        <v>73</v>
      </c>
      <c r="D44" s="401"/>
      <c r="E44" s="388">
        <v>12</v>
      </c>
      <c r="F44" s="388"/>
      <c r="G44" s="388"/>
      <c r="H44" s="169">
        <f>E44*1</f>
        <v>12</v>
      </c>
      <c r="I44" s="388">
        <f>H44+H45+H46+H47+H48+H49</f>
        <v>27</v>
      </c>
      <c r="J44" s="388">
        <v>0</v>
      </c>
      <c r="K44" s="388"/>
      <c r="L44" s="388"/>
      <c r="M44" s="169">
        <f>J44*1</f>
        <v>0</v>
      </c>
      <c r="N44" s="388">
        <f>M44+M45+M49+M48+M47+M46</f>
        <v>170</v>
      </c>
      <c r="O44" s="388">
        <v>0</v>
      </c>
      <c r="P44" s="388"/>
      <c r="Q44" s="388"/>
      <c r="R44" s="169">
        <f>O44*1</f>
        <v>0</v>
      </c>
      <c r="S44" s="388">
        <f>R49+R48+R47+R46+R45+R44</f>
        <v>40</v>
      </c>
      <c r="T44" s="388">
        <v>0</v>
      </c>
      <c r="U44" s="388"/>
      <c r="V44" s="388"/>
      <c r="W44" s="169">
        <f>T44*1</f>
        <v>0</v>
      </c>
      <c r="X44" s="388">
        <f>W44+W45+W46+W47+W48+W49</f>
        <v>20</v>
      </c>
      <c r="Y44" s="164"/>
      <c r="Z44" s="181"/>
      <c r="AA44" s="181"/>
      <c r="AB44" s="181"/>
      <c r="AC44" s="181"/>
    </row>
    <row r="45" spans="1:29" ht="21" customHeight="1" x14ac:dyDescent="0.25">
      <c r="A45" s="419"/>
      <c r="B45" s="401"/>
      <c r="C45" s="401" t="s">
        <v>74</v>
      </c>
      <c r="D45" s="401"/>
      <c r="E45" s="388">
        <v>0</v>
      </c>
      <c r="F45" s="388"/>
      <c r="G45" s="388"/>
      <c r="H45" s="169">
        <f>E45*5</f>
        <v>0</v>
      </c>
      <c r="I45" s="388"/>
      <c r="J45" s="388">
        <v>0</v>
      </c>
      <c r="K45" s="388"/>
      <c r="L45" s="388"/>
      <c r="M45" s="169">
        <f>J45*5</f>
        <v>0</v>
      </c>
      <c r="N45" s="388"/>
      <c r="O45" s="388">
        <v>0</v>
      </c>
      <c r="P45" s="388"/>
      <c r="Q45" s="388"/>
      <c r="R45" s="169">
        <f>O45*5</f>
        <v>0</v>
      </c>
      <c r="S45" s="388"/>
      <c r="T45" s="388">
        <v>2</v>
      </c>
      <c r="U45" s="388"/>
      <c r="V45" s="388"/>
      <c r="W45" s="169">
        <f>T45*5</f>
        <v>10</v>
      </c>
      <c r="X45" s="388"/>
      <c r="Y45" s="164"/>
      <c r="Z45" s="181"/>
      <c r="AA45" s="181"/>
      <c r="AB45" s="181"/>
      <c r="AC45" s="181"/>
    </row>
    <row r="46" spans="1:29" ht="21" customHeight="1" x14ac:dyDescent="0.25">
      <c r="A46" s="419"/>
      <c r="B46" s="401"/>
      <c r="C46" s="401" t="s">
        <v>75</v>
      </c>
      <c r="D46" s="401"/>
      <c r="E46" s="388">
        <v>0</v>
      </c>
      <c r="F46" s="388"/>
      <c r="G46" s="388"/>
      <c r="H46" s="169">
        <f>E46*10</f>
        <v>0</v>
      </c>
      <c r="I46" s="388"/>
      <c r="J46" s="388">
        <v>5</v>
      </c>
      <c r="K46" s="388"/>
      <c r="L46" s="388"/>
      <c r="M46" s="169">
        <f>J46*10</f>
        <v>50</v>
      </c>
      <c r="N46" s="388"/>
      <c r="O46" s="388">
        <v>3</v>
      </c>
      <c r="P46" s="388"/>
      <c r="Q46" s="388"/>
      <c r="R46" s="169">
        <f>O46*10</f>
        <v>30</v>
      </c>
      <c r="S46" s="388"/>
      <c r="T46" s="388">
        <v>1</v>
      </c>
      <c r="U46" s="388"/>
      <c r="V46" s="388"/>
      <c r="W46" s="169">
        <f>T46*10</f>
        <v>10</v>
      </c>
      <c r="X46" s="388"/>
      <c r="Y46" s="164"/>
      <c r="Z46" s="181"/>
      <c r="AA46" s="181"/>
      <c r="AB46" s="181"/>
      <c r="AC46" s="181"/>
    </row>
    <row r="47" spans="1:29" ht="21" customHeight="1" x14ac:dyDescent="0.25">
      <c r="A47" s="419"/>
      <c r="B47" s="401"/>
      <c r="C47" s="401" t="s">
        <v>76</v>
      </c>
      <c r="D47" s="401"/>
      <c r="E47" s="388">
        <v>0</v>
      </c>
      <c r="F47" s="388"/>
      <c r="G47" s="388"/>
      <c r="H47" s="169">
        <f>E47*100</f>
        <v>0</v>
      </c>
      <c r="I47" s="388"/>
      <c r="J47" s="388">
        <v>1</v>
      </c>
      <c r="K47" s="388"/>
      <c r="L47" s="388"/>
      <c r="M47" s="169">
        <f>J47*100</f>
        <v>100</v>
      </c>
      <c r="N47" s="388"/>
      <c r="O47" s="388">
        <v>0</v>
      </c>
      <c r="P47" s="388"/>
      <c r="Q47" s="388"/>
      <c r="R47" s="169">
        <f>O47*100</f>
        <v>0</v>
      </c>
      <c r="S47" s="388"/>
      <c r="T47" s="388">
        <v>0</v>
      </c>
      <c r="U47" s="388"/>
      <c r="V47" s="388"/>
      <c r="W47" s="169">
        <f>T47*100</f>
        <v>0</v>
      </c>
      <c r="X47" s="388"/>
      <c r="Y47" s="164"/>
      <c r="Z47" s="181"/>
      <c r="AA47" s="181"/>
      <c r="AB47" s="181"/>
      <c r="AC47" s="181"/>
    </row>
    <row r="48" spans="1:29" ht="21" customHeight="1" x14ac:dyDescent="0.25">
      <c r="A48" s="419"/>
      <c r="B48" s="401"/>
      <c r="C48" s="401" t="s">
        <v>77</v>
      </c>
      <c r="D48" s="401"/>
      <c r="E48" s="388">
        <v>0</v>
      </c>
      <c r="F48" s="388"/>
      <c r="G48" s="388"/>
      <c r="H48" s="169">
        <f>E48*300</f>
        <v>0</v>
      </c>
      <c r="I48" s="388"/>
      <c r="J48" s="388">
        <v>0</v>
      </c>
      <c r="K48" s="388"/>
      <c r="L48" s="388"/>
      <c r="M48" s="169">
        <f>J48*300</f>
        <v>0</v>
      </c>
      <c r="N48" s="388"/>
      <c r="O48" s="388">
        <v>0</v>
      </c>
      <c r="P48" s="388"/>
      <c r="Q48" s="388"/>
      <c r="R48" s="169">
        <f>O48*300</f>
        <v>0</v>
      </c>
      <c r="S48" s="388"/>
      <c r="T48" s="388">
        <v>0</v>
      </c>
      <c r="U48" s="388"/>
      <c r="V48" s="388"/>
      <c r="W48" s="169">
        <f>T48*300</f>
        <v>0</v>
      </c>
      <c r="X48" s="388"/>
      <c r="Y48" s="164"/>
      <c r="Z48" s="181"/>
      <c r="AA48" s="181"/>
      <c r="AB48" s="181"/>
      <c r="AC48" s="181"/>
    </row>
    <row r="49" spans="1:29" ht="21" customHeight="1" x14ac:dyDescent="0.25">
      <c r="A49" s="419"/>
      <c r="B49" s="401"/>
      <c r="C49" s="401" t="s">
        <v>78</v>
      </c>
      <c r="D49" s="401"/>
      <c r="E49" s="388">
        <v>15</v>
      </c>
      <c r="F49" s="388"/>
      <c r="G49" s="388"/>
      <c r="H49" s="169">
        <f>E49*1</f>
        <v>15</v>
      </c>
      <c r="I49" s="388"/>
      <c r="J49" s="388">
        <v>20</v>
      </c>
      <c r="K49" s="388"/>
      <c r="L49" s="388"/>
      <c r="M49" s="169">
        <f t="shared" ref="M49" si="1">J49*1</f>
        <v>20</v>
      </c>
      <c r="N49" s="388"/>
      <c r="O49" s="388">
        <v>10</v>
      </c>
      <c r="P49" s="388"/>
      <c r="Q49" s="388"/>
      <c r="R49" s="169">
        <f t="shared" ref="R49" si="2">O49*1</f>
        <v>10</v>
      </c>
      <c r="S49" s="388"/>
      <c r="T49" s="388">
        <v>0</v>
      </c>
      <c r="U49" s="388"/>
      <c r="V49" s="388"/>
      <c r="W49" s="169">
        <f t="shared" ref="W49" si="3">T49*1</f>
        <v>0</v>
      </c>
      <c r="X49" s="388"/>
      <c r="Y49" s="164"/>
      <c r="Z49" s="181"/>
      <c r="AA49" s="181"/>
      <c r="AB49" s="181"/>
      <c r="AC49" s="181"/>
    </row>
    <row r="50" spans="1:29" ht="21" customHeight="1" x14ac:dyDescent="0.25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75">
        <f>I44+N44+S44+X44</f>
        <v>257</v>
      </c>
      <c r="Y50" s="164"/>
      <c r="Z50" s="181"/>
      <c r="AA50" s="181"/>
      <c r="AB50" s="181"/>
      <c r="AC50" s="181"/>
    </row>
    <row r="51" spans="1:29" ht="21" customHeight="1" x14ac:dyDescent="0.25">
      <c r="A51" s="177"/>
      <c r="B51" s="177"/>
      <c r="C51" s="177"/>
      <c r="D51" s="177"/>
      <c r="E51" s="384" t="s">
        <v>31</v>
      </c>
      <c r="F51" s="384"/>
      <c r="G51" s="384"/>
      <c r="H51" s="384"/>
      <c r="I51" s="384"/>
      <c r="J51" s="384" t="s">
        <v>32</v>
      </c>
      <c r="K51" s="384"/>
      <c r="L51" s="384"/>
      <c r="M51" s="384"/>
      <c r="N51" s="384"/>
      <c r="O51" s="384" t="s">
        <v>33</v>
      </c>
      <c r="P51" s="384"/>
      <c r="Q51" s="384"/>
      <c r="R51" s="384"/>
      <c r="S51" s="384"/>
      <c r="T51" s="384" t="s">
        <v>34</v>
      </c>
      <c r="U51" s="384"/>
      <c r="V51" s="384"/>
      <c r="W51" s="384"/>
      <c r="X51" s="384"/>
      <c r="Y51" s="164"/>
      <c r="Z51" s="181"/>
      <c r="AA51" s="181"/>
      <c r="AB51" s="181"/>
      <c r="AC51" s="181"/>
    </row>
    <row r="52" spans="1:29" ht="21" customHeight="1" x14ac:dyDescent="0.25">
      <c r="A52" s="177"/>
      <c r="B52" s="177"/>
      <c r="C52" s="402"/>
      <c r="D52" s="402"/>
      <c r="E52" s="388" t="s">
        <v>70</v>
      </c>
      <c r="F52" s="388"/>
      <c r="G52" s="388"/>
      <c r="H52" s="169" t="s">
        <v>7</v>
      </c>
      <c r="I52" s="169" t="s">
        <v>12</v>
      </c>
      <c r="J52" s="388" t="s">
        <v>70</v>
      </c>
      <c r="K52" s="388"/>
      <c r="L52" s="388"/>
      <c r="M52" s="169" t="s">
        <v>7</v>
      </c>
      <c r="N52" s="169" t="s">
        <v>12</v>
      </c>
      <c r="O52" s="388" t="s">
        <v>70</v>
      </c>
      <c r="P52" s="388"/>
      <c r="Q52" s="388"/>
      <c r="R52" s="169" t="s">
        <v>7</v>
      </c>
      <c r="S52" s="169" t="s">
        <v>12</v>
      </c>
      <c r="T52" s="388" t="s">
        <v>70</v>
      </c>
      <c r="U52" s="388"/>
      <c r="V52" s="388"/>
      <c r="W52" s="169" t="s">
        <v>7</v>
      </c>
      <c r="X52" s="169" t="s">
        <v>12</v>
      </c>
      <c r="Y52" s="164"/>
      <c r="Z52" s="181"/>
      <c r="AA52" s="181"/>
      <c r="AB52" s="181"/>
      <c r="AC52" s="181"/>
    </row>
    <row r="53" spans="1:29" ht="21" customHeight="1" x14ac:dyDescent="0.25">
      <c r="A53" s="419" t="s">
        <v>79</v>
      </c>
      <c r="B53" s="401" t="s">
        <v>80</v>
      </c>
      <c r="C53" s="401" t="s">
        <v>73</v>
      </c>
      <c r="D53" s="401"/>
      <c r="E53" s="388">
        <v>2</v>
      </c>
      <c r="F53" s="388"/>
      <c r="G53" s="388"/>
      <c r="H53" s="169">
        <f>E53*1</f>
        <v>2</v>
      </c>
      <c r="I53" s="388">
        <f>H53+H54+H55+H56+H57+H58</f>
        <v>6</v>
      </c>
      <c r="J53" s="388">
        <v>0</v>
      </c>
      <c r="K53" s="388"/>
      <c r="L53" s="388"/>
      <c r="M53" s="169">
        <f>J53*1</f>
        <v>0</v>
      </c>
      <c r="N53" s="388">
        <f>M53+M54+M58+M57+M56+M55</f>
        <v>23</v>
      </c>
      <c r="O53" s="388">
        <v>0</v>
      </c>
      <c r="P53" s="388"/>
      <c r="Q53" s="388"/>
      <c r="R53" s="169">
        <f>O53*1</f>
        <v>0</v>
      </c>
      <c r="S53" s="388">
        <f>R58+R57+R56+R55+R54+R53</f>
        <v>15</v>
      </c>
      <c r="T53" s="388">
        <v>0</v>
      </c>
      <c r="U53" s="388"/>
      <c r="V53" s="388"/>
      <c r="W53" s="169">
        <f>T53*1</f>
        <v>0</v>
      </c>
      <c r="X53" s="388">
        <f>W53+W54+W55+W56+W57+W58</f>
        <v>15</v>
      </c>
      <c r="Y53" s="164"/>
      <c r="Z53" s="181"/>
      <c r="AA53" s="181"/>
      <c r="AB53" s="181"/>
      <c r="AC53" s="181"/>
    </row>
    <row r="54" spans="1:29" ht="21" customHeight="1" x14ac:dyDescent="0.25">
      <c r="A54" s="419"/>
      <c r="B54" s="401"/>
      <c r="C54" s="401" t="s">
        <v>74</v>
      </c>
      <c r="D54" s="401"/>
      <c r="E54" s="388">
        <v>0</v>
      </c>
      <c r="F54" s="388"/>
      <c r="G54" s="388"/>
      <c r="H54" s="169">
        <f>E54*5</f>
        <v>0</v>
      </c>
      <c r="I54" s="388"/>
      <c r="J54" s="388">
        <v>2</v>
      </c>
      <c r="K54" s="388"/>
      <c r="L54" s="388"/>
      <c r="M54" s="169">
        <f>J54*5</f>
        <v>10</v>
      </c>
      <c r="N54" s="388"/>
      <c r="O54" s="388">
        <v>2</v>
      </c>
      <c r="P54" s="388"/>
      <c r="Q54" s="388"/>
      <c r="R54" s="169">
        <f>O54*5</f>
        <v>10</v>
      </c>
      <c r="S54" s="388"/>
      <c r="T54" s="388">
        <v>1</v>
      </c>
      <c r="U54" s="388"/>
      <c r="V54" s="388"/>
      <c r="W54" s="169">
        <f>T54*5</f>
        <v>5</v>
      </c>
      <c r="X54" s="388"/>
      <c r="Y54" s="164"/>
      <c r="Z54" s="181"/>
      <c r="AA54" s="181"/>
      <c r="AB54" s="181"/>
      <c r="AC54" s="181"/>
    </row>
    <row r="55" spans="1:29" ht="21" customHeight="1" x14ac:dyDescent="0.25">
      <c r="A55" s="419"/>
      <c r="B55" s="401"/>
      <c r="C55" s="401" t="s">
        <v>75</v>
      </c>
      <c r="D55" s="401"/>
      <c r="E55" s="388">
        <v>0</v>
      </c>
      <c r="F55" s="388"/>
      <c r="G55" s="388"/>
      <c r="H55" s="169">
        <f>E55*10</f>
        <v>0</v>
      </c>
      <c r="I55" s="388"/>
      <c r="J55" s="388">
        <v>1</v>
      </c>
      <c r="K55" s="388"/>
      <c r="L55" s="388"/>
      <c r="M55" s="169">
        <f>J55*10</f>
        <v>10</v>
      </c>
      <c r="N55" s="388"/>
      <c r="O55" s="388">
        <v>0</v>
      </c>
      <c r="P55" s="388"/>
      <c r="Q55" s="388"/>
      <c r="R55" s="169">
        <f>O55*10</f>
        <v>0</v>
      </c>
      <c r="S55" s="388"/>
      <c r="T55" s="388">
        <v>1</v>
      </c>
      <c r="U55" s="388"/>
      <c r="V55" s="388"/>
      <c r="W55" s="169">
        <f>T55*10</f>
        <v>10</v>
      </c>
      <c r="X55" s="388"/>
      <c r="Y55" s="164"/>
      <c r="Z55" s="181"/>
      <c r="AA55" s="181"/>
      <c r="AB55" s="181"/>
      <c r="AC55" s="181"/>
    </row>
    <row r="56" spans="1:29" ht="21" customHeight="1" x14ac:dyDescent="0.25">
      <c r="A56" s="419"/>
      <c r="B56" s="401"/>
      <c r="C56" s="401" t="s">
        <v>76</v>
      </c>
      <c r="D56" s="401"/>
      <c r="E56" s="388">
        <v>0</v>
      </c>
      <c r="F56" s="388"/>
      <c r="G56" s="388"/>
      <c r="H56" s="169">
        <f>E56*100</f>
        <v>0</v>
      </c>
      <c r="I56" s="388"/>
      <c r="J56" s="388">
        <v>0</v>
      </c>
      <c r="K56" s="388"/>
      <c r="L56" s="388"/>
      <c r="M56" s="169">
        <f>J56*100</f>
        <v>0</v>
      </c>
      <c r="N56" s="388"/>
      <c r="O56" s="388">
        <v>0</v>
      </c>
      <c r="P56" s="388"/>
      <c r="Q56" s="388"/>
      <c r="R56" s="169">
        <f>O56*100</f>
        <v>0</v>
      </c>
      <c r="S56" s="388"/>
      <c r="T56" s="388">
        <v>0</v>
      </c>
      <c r="U56" s="388"/>
      <c r="V56" s="388"/>
      <c r="W56" s="169">
        <f>T56*100</f>
        <v>0</v>
      </c>
      <c r="X56" s="388"/>
      <c r="Y56" s="164"/>
      <c r="Z56" s="181"/>
      <c r="AA56" s="181"/>
      <c r="AB56" s="181"/>
      <c r="AC56" s="181"/>
    </row>
    <row r="57" spans="1:29" ht="21" customHeight="1" x14ac:dyDescent="0.25">
      <c r="A57" s="419"/>
      <c r="B57" s="401"/>
      <c r="C57" s="401" t="s">
        <v>77</v>
      </c>
      <c r="D57" s="401"/>
      <c r="E57" s="388">
        <v>0</v>
      </c>
      <c r="F57" s="388"/>
      <c r="G57" s="388"/>
      <c r="H57" s="169">
        <f>E57*300</f>
        <v>0</v>
      </c>
      <c r="I57" s="388"/>
      <c r="J57" s="388">
        <v>0</v>
      </c>
      <c r="K57" s="388"/>
      <c r="L57" s="388"/>
      <c r="M57" s="169">
        <f>J57*300</f>
        <v>0</v>
      </c>
      <c r="N57" s="388"/>
      <c r="O57" s="388">
        <v>0</v>
      </c>
      <c r="P57" s="388"/>
      <c r="Q57" s="388"/>
      <c r="R57" s="169">
        <f>O57*300</f>
        <v>0</v>
      </c>
      <c r="S57" s="388"/>
      <c r="T57" s="388">
        <v>0</v>
      </c>
      <c r="U57" s="388"/>
      <c r="V57" s="388"/>
      <c r="W57" s="169">
        <f>T57*300</f>
        <v>0</v>
      </c>
      <c r="X57" s="388"/>
      <c r="Y57" s="164"/>
      <c r="Z57" s="181"/>
      <c r="AA57" s="181"/>
      <c r="AB57" s="181"/>
      <c r="AC57" s="181"/>
    </row>
    <row r="58" spans="1:29" ht="21" customHeight="1" x14ac:dyDescent="0.25">
      <c r="A58" s="419"/>
      <c r="B58" s="401"/>
      <c r="C58" s="401" t="s">
        <v>78</v>
      </c>
      <c r="D58" s="401"/>
      <c r="E58" s="388">
        <v>4</v>
      </c>
      <c r="F58" s="388"/>
      <c r="G58" s="388"/>
      <c r="H58" s="169">
        <f>E58*1</f>
        <v>4</v>
      </c>
      <c r="I58" s="388"/>
      <c r="J58" s="388">
        <v>3</v>
      </c>
      <c r="K58" s="388"/>
      <c r="L58" s="388"/>
      <c r="M58" s="169">
        <f t="shared" ref="M58" si="4">J58*1</f>
        <v>3</v>
      </c>
      <c r="N58" s="388"/>
      <c r="O58" s="388">
        <v>5</v>
      </c>
      <c r="P58" s="388"/>
      <c r="Q58" s="388"/>
      <c r="R58" s="169">
        <f t="shared" ref="R58" si="5">O58*1</f>
        <v>5</v>
      </c>
      <c r="S58" s="388"/>
      <c r="T58" s="388">
        <v>0</v>
      </c>
      <c r="U58" s="388"/>
      <c r="V58" s="388"/>
      <c r="W58" s="169">
        <f t="shared" ref="W58" si="6">T58*1</f>
        <v>0</v>
      </c>
      <c r="X58" s="388"/>
      <c r="Y58" s="164"/>
      <c r="Z58" s="181"/>
      <c r="AA58" s="181"/>
      <c r="AB58" s="181"/>
      <c r="AC58" s="181"/>
    </row>
    <row r="59" spans="1:29" ht="21" customHeight="1" x14ac:dyDescent="0.25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75">
        <f>I53+N53+S53+X53</f>
        <v>59</v>
      </c>
      <c r="Y59" s="164"/>
      <c r="Z59" s="181"/>
      <c r="AA59" s="181"/>
      <c r="AB59" s="181"/>
      <c r="AC59" s="181"/>
    </row>
    <row r="60" spans="1:29" ht="21" customHeight="1" x14ac:dyDescent="0.25">
      <c r="A60" s="177"/>
      <c r="B60" s="177"/>
      <c r="C60" s="177"/>
      <c r="D60" s="177"/>
      <c r="E60" s="384" t="s">
        <v>31</v>
      </c>
      <c r="F60" s="384"/>
      <c r="G60" s="384"/>
      <c r="H60" s="384"/>
      <c r="I60" s="384"/>
      <c r="J60" s="384" t="s">
        <v>32</v>
      </c>
      <c r="K60" s="384"/>
      <c r="L60" s="384"/>
      <c r="M60" s="384"/>
      <c r="N60" s="384"/>
      <c r="O60" s="384" t="s">
        <v>33</v>
      </c>
      <c r="P60" s="384"/>
      <c r="Q60" s="384"/>
      <c r="R60" s="384"/>
      <c r="S60" s="384"/>
      <c r="T60" s="384" t="s">
        <v>34</v>
      </c>
      <c r="U60" s="384"/>
      <c r="V60" s="384"/>
      <c r="W60" s="384"/>
      <c r="X60" s="384"/>
      <c r="Y60" s="164"/>
      <c r="Z60" s="181"/>
      <c r="AA60" s="181"/>
      <c r="AB60" s="181"/>
      <c r="AC60" s="181"/>
    </row>
    <row r="61" spans="1:29" ht="21" customHeight="1" x14ac:dyDescent="0.25">
      <c r="A61" s="177"/>
      <c r="B61" s="177"/>
      <c r="C61" s="402"/>
      <c r="D61" s="402"/>
      <c r="E61" s="388" t="s">
        <v>70</v>
      </c>
      <c r="F61" s="388"/>
      <c r="G61" s="388"/>
      <c r="H61" s="169" t="s">
        <v>7</v>
      </c>
      <c r="I61" s="169" t="s">
        <v>12</v>
      </c>
      <c r="J61" s="388" t="s">
        <v>70</v>
      </c>
      <c r="K61" s="388"/>
      <c r="L61" s="388"/>
      <c r="M61" s="169" t="s">
        <v>7</v>
      </c>
      <c r="N61" s="169" t="s">
        <v>12</v>
      </c>
      <c r="O61" s="388" t="s">
        <v>70</v>
      </c>
      <c r="P61" s="388"/>
      <c r="Q61" s="388"/>
      <c r="R61" s="169" t="s">
        <v>7</v>
      </c>
      <c r="S61" s="169" t="s">
        <v>12</v>
      </c>
      <c r="T61" s="388" t="s">
        <v>70</v>
      </c>
      <c r="U61" s="388"/>
      <c r="V61" s="388"/>
      <c r="W61" s="169" t="s">
        <v>7</v>
      </c>
      <c r="X61" s="169" t="s">
        <v>12</v>
      </c>
      <c r="Y61" s="164"/>
      <c r="Z61" s="181"/>
      <c r="AA61" s="181"/>
      <c r="AB61" s="181"/>
      <c r="AC61" s="181"/>
    </row>
    <row r="62" spans="1:29" ht="21" customHeight="1" x14ac:dyDescent="0.25">
      <c r="A62" s="419" t="s">
        <v>81</v>
      </c>
      <c r="B62" s="401" t="s">
        <v>82</v>
      </c>
      <c r="C62" s="401" t="s">
        <v>73</v>
      </c>
      <c r="D62" s="401"/>
      <c r="E62" s="388">
        <v>0</v>
      </c>
      <c r="F62" s="388"/>
      <c r="G62" s="388"/>
      <c r="H62" s="169">
        <f>E62*1</f>
        <v>0</v>
      </c>
      <c r="I62" s="388">
        <f>H62+H63+H64+H65+H66+H67</f>
        <v>0</v>
      </c>
      <c r="J62" s="388">
        <v>0</v>
      </c>
      <c r="K62" s="388"/>
      <c r="L62" s="388"/>
      <c r="M62" s="169">
        <f>J62*1</f>
        <v>0</v>
      </c>
      <c r="N62" s="388">
        <f>M62+M63+M67+M66+M65+M64</f>
        <v>10</v>
      </c>
      <c r="O62" s="388">
        <v>0</v>
      </c>
      <c r="P62" s="388"/>
      <c r="Q62" s="388"/>
      <c r="R62" s="169">
        <f>O62*1</f>
        <v>0</v>
      </c>
      <c r="S62" s="388">
        <f>R67+R66+R65+R64+R63+R62</f>
        <v>300</v>
      </c>
      <c r="T62" s="388">
        <v>0</v>
      </c>
      <c r="U62" s="388"/>
      <c r="V62" s="388"/>
      <c r="W62" s="169">
        <f>T62*1</f>
        <v>0</v>
      </c>
      <c r="X62" s="388">
        <f>W62+W63+W64+W65+W66+W67</f>
        <v>200</v>
      </c>
      <c r="Y62" s="164"/>
      <c r="Z62" s="181"/>
      <c r="AA62" s="181"/>
      <c r="AB62" s="181"/>
      <c r="AC62" s="181"/>
    </row>
    <row r="63" spans="1:29" ht="21" customHeight="1" x14ac:dyDescent="0.25">
      <c r="A63" s="419"/>
      <c r="B63" s="401"/>
      <c r="C63" s="401" t="s">
        <v>74</v>
      </c>
      <c r="D63" s="401"/>
      <c r="E63" s="388">
        <v>0</v>
      </c>
      <c r="F63" s="388"/>
      <c r="G63" s="388"/>
      <c r="H63" s="169">
        <f>E63*5</f>
        <v>0</v>
      </c>
      <c r="I63" s="388"/>
      <c r="J63" s="388">
        <v>0</v>
      </c>
      <c r="K63" s="388"/>
      <c r="L63" s="388"/>
      <c r="M63" s="169">
        <f>J63*5</f>
        <v>0</v>
      </c>
      <c r="N63" s="388"/>
      <c r="O63" s="388">
        <v>0</v>
      </c>
      <c r="P63" s="388"/>
      <c r="Q63" s="388"/>
      <c r="R63" s="169">
        <f>O63*5</f>
        <v>0</v>
      </c>
      <c r="S63" s="388"/>
      <c r="T63" s="388">
        <v>0</v>
      </c>
      <c r="U63" s="388"/>
      <c r="V63" s="388"/>
      <c r="W63" s="169">
        <f>T63*5</f>
        <v>0</v>
      </c>
      <c r="X63" s="388"/>
      <c r="Y63" s="164"/>
      <c r="Z63" s="181"/>
      <c r="AA63" s="181"/>
      <c r="AB63" s="181"/>
      <c r="AC63" s="181"/>
    </row>
    <row r="64" spans="1:29" ht="21" customHeight="1" x14ac:dyDescent="0.25">
      <c r="A64" s="419"/>
      <c r="B64" s="401"/>
      <c r="C64" s="401" t="s">
        <v>75</v>
      </c>
      <c r="D64" s="401"/>
      <c r="E64" s="388">
        <v>0</v>
      </c>
      <c r="F64" s="388"/>
      <c r="G64" s="388"/>
      <c r="H64" s="169">
        <f>E64*10</f>
        <v>0</v>
      </c>
      <c r="I64" s="388"/>
      <c r="J64" s="388">
        <v>1</v>
      </c>
      <c r="K64" s="388"/>
      <c r="L64" s="388"/>
      <c r="M64" s="169">
        <f>J64*10</f>
        <v>10</v>
      </c>
      <c r="N64" s="388"/>
      <c r="O64" s="388">
        <v>0</v>
      </c>
      <c r="P64" s="388"/>
      <c r="Q64" s="388"/>
      <c r="R64" s="169">
        <f>O64*10</f>
        <v>0</v>
      </c>
      <c r="S64" s="388"/>
      <c r="T64" s="388">
        <v>0</v>
      </c>
      <c r="U64" s="388"/>
      <c r="V64" s="388"/>
      <c r="W64" s="169">
        <f>T64*10</f>
        <v>0</v>
      </c>
      <c r="X64" s="388"/>
      <c r="Y64" s="164"/>
      <c r="Z64" s="181"/>
      <c r="AA64" s="181"/>
      <c r="AB64" s="181"/>
      <c r="AC64" s="181"/>
    </row>
    <row r="65" spans="1:29" ht="21" customHeight="1" x14ac:dyDescent="0.25">
      <c r="A65" s="419"/>
      <c r="B65" s="401"/>
      <c r="C65" s="401" t="s">
        <v>76</v>
      </c>
      <c r="D65" s="401"/>
      <c r="E65" s="388">
        <v>0</v>
      </c>
      <c r="F65" s="388"/>
      <c r="G65" s="388"/>
      <c r="H65" s="169">
        <f>E65*100</f>
        <v>0</v>
      </c>
      <c r="I65" s="388"/>
      <c r="J65" s="388">
        <v>0</v>
      </c>
      <c r="K65" s="388"/>
      <c r="L65" s="388"/>
      <c r="M65" s="169">
        <f>J65*100</f>
        <v>0</v>
      </c>
      <c r="N65" s="388"/>
      <c r="O65" s="388">
        <v>0</v>
      </c>
      <c r="P65" s="388"/>
      <c r="Q65" s="388"/>
      <c r="R65" s="169">
        <f>O65*100</f>
        <v>0</v>
      </c>
      <c r="S65" s="388"/>
      <c r="T65" s="388">
        <v>2</v>
      </c>
      <c r="U65" s="388"/>
      <c r="V65" s="388"/>
      <c r="W65" s="169">
        <f>T65*100</f>
        <v>200</v>
      </c>
      <c r="X65" s="388"/>
      <c r="Y65" s="164"/>
      <c r="Z65" s="181"/>
      <c r="AA65" s="181"/>
      <c r="AB65" s="181"/>
      <c r="AC65" s="181"/>
    </row>
    <row r="66" spans="1:29" ht="21" customHeight="1" x14ac:dyDescent="0.25">
      <c r="A66" s="419"/>
      <c r="B66" s="401"/>
      <c r="C66" s="401" t="s">
        <v>77</v>
      </c>
      <c r="D66" s="401"/>
      <c r="E66" s="388">
        <v>0</v>
      </c>
      <c r="F66" s="388"/>
      <c r="G66" s="388"/>
      <c r="H66" s="169">
        <f>E66*300</f>
        <v>0</v>
      </c>
      <c r="I66" s="388"/>
      <c r="J66" s="388">
        <v>0</v>
      </c>
      <c r="K66" s="388"/>
      <c r="L66" s="388"/>
      <c r="M66" s="169">
        <f>J66*300</f>
        <v>0</v>
      </c>
      <c r="N66" s="388"/>
      <c r="O66" s="388">
        <v>1</v>
      </c>
      <c r="P66" s="388"/>
      <c r="Q66" s="388"/>
      <c r="R66" s="169">
        <f>O66*300</f>
        <v>300</v>
      </c>
      <c r="S66" s="388"/>
      <c r="T66" s="388">
        <v>0</v>
      </c>
      <c r="U66" s="388"/>
      <c r="V66" s="388"/>
      <c r="W66" s="169">
        <f>T66*300</f>
        <v>0</v>
      </c>
      <c r="X66" s="388"/>
      <c r="Y66" s="164"/>
      <c r="Z66" s="181"/>
      <c r="AA66" s="181"/>
      <c r="AB66" s="181"/>
      <c r="AC66" s="181"/>
    </row>
    <row r="67" spans="1:29" ht="21" customHeight="1" x14ac:dyDescent="0.25">
      <c r="A67" s="419"/>
      <c r="B67" s="401"/>
      <c r="C67" s="401" t="s">
        <v>78</v>
      </c>
      <c r="D67" s="401"/>
      <c r="E67" s="388">
        <v>0</v>
      </c>
      <c r="F67" s="388"/>
      <c r="G67" s="388"/>
      <c r="H67" s="169">
        <f>E67*1</f>
        <v>0</v>
      </c>
      <c r="I67" s="388"/>
      <c r="J67" s="388">
        <v>0</v>
      </c>
      <c r="K67" s="388"/>
      <c r="L67" s="388"/>
      <c r="M67" s="169">
        <f t="shared" ref="M67" si="7">J67*1</f>
        <v>0</v>
      </c>
      <c r="N67" s="388"/>
      <c r="O67" s="388">
        <v>0</v>
      </c>
      <c r="P67" s="388"/>
      <c r="Q67" s="388"/>
      <c r="R67" s="169">
        <f t="shared" ref="R67" si="8">O67*1</f>
        <v>0</v>
      </c>
      <c r="S67" s="388"/>
      <c r="T67" s="388">
        <v>0</v>
      </c>
      <c r="U67" s="388"/>
      <c r="V67" s="388"/>
      <c r="W67" s="169">
        <f t="shared" ref="W67" si="9">T67*1</f>
        <v>0</v>
      </c>
      <c r="X67" s="388"/>
      <c r="Y67" s="164"/>
      <c r="Z67" s="181"/>
      <c r="AA67" s="181"/>
      <c r="AB67" s="181"/>
      <c r="AC67" s="181"/>
    </row>
    <row r="68" spans="1:29" ht="23.2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75">
        <f>I62+N62+S62+X62</f>
        <v>510</v>
      </c>
      <c r="Y68" s="164"/>
      <c r="Z68" s="181"/>
      <c r="AA68" s="181"/>
      <c r="AB68" s="181"/>
      <c r="AC68" s="181"/>
    </row>
    <row r="69" spans="1:29" ht="21" customHeight="1" x14ac:dyDescent="0.25">
      <c r="A69" s="177"/>
      <c r="B69" s="177"/>
      <c r="C69" s="177"/>
      <c r="D69" s="177"/>
      <c r="E69" s="384" t="s">
        <v>31</v>
      </c>
      <c r="F69" s="384"/>
      <c r="G69" s="384"/>
      <c r="H69" s="384"/>
      <c r="I69" s="384"/>
      <c r="J69" s="384" t="s">
        <v>32</v>
      </c>
      <c r="K69" s="384"/>
      <c r="L69" s="384"/>
      <c r="M69" s="384"/>
      <c r="N69" s="384"/>
      <c r="O69" s="384" t="s">
        <v>33</v>
      </c>
      <c r="P69" s="384"/>
      <c r="Q69" s="384"/>
      <c r="R69" s="384"/>
      <c r="S69" s="384"/>
      <c r="T69" s="384" t="s">
        <v>34</v>
      </c>
      <c r="U69" s="384"/>
      <c r="V69" s="384"/>
      <c r="W69" s="384"/>
      <c r="X69" s="384"/>
      <c r="Y69" s="164"/>
      <c r="Z69" s="181"/>
      <c r="AA69" s="181"/>
      <c r="AB69" s="181"/>
      <c r="AC69" s="181"/>
    </row>
    <row r="70" spans="1:29" ht="21" customHeight="1" x14ac:dyDescent="0.25">
      <c r="A70" s="177"/>
      <c r="B70" s="177"/>
      <c r="C70" s="402"/>
      <c r="D70" s="402"/>
      <c r="E70" s="388" t="s">
        <v>70</v>
      </c>
      <c r="F70" s="388"/>
      <c r="G70" s="388"/>
      <c r="H70" s="169" t="s">
        <v>7</v>
      </c>
      <c r="I70" s="169" t="s">
        <v>12</v>
      </c>
      <c r="J70" s="388" t="s">
        <v>70</v>
      </c>
      <c r="K70" s="388"/>
      <c r="L70" s="388"/>
      <c r="M70" s="169" t="s">
        <v>7</v>
      </c>
      <c r="N70" s="169" t="s">
        <v>12</v>
      </c>
      <c r="O70" s="388" t="s">
        <v>70</v>
      </c>
      <c r="P70" s="388"/>
      <c r="Q70" s="388"/>
      <c r="R70" s="169" t="s">
        <v>7</v>
      </c>
      <c r="S70" s="169" t="s">
        <v>12</v>
      </c>
      <c r="T70" s="388" t="s">
        <v>70</v>
      </c>
      <c r="U70" s="388"/>
      <c r="V70" s="388"/>
      <c r="W70" s="169" t="s">
        <v>7</v>
      </c>
      <c r="X70" s="169" t="s">
        <v>12</v>
      </c>
      <c r="Y70" s="164"/>
      <c r="Z70" s="181"/>
      <c r="AA70" s="181"/>
      <c r="AB70" s="181"/>
      <c r="AC70" s="181"/>
    </row>
    <row r="71" spans="1:29" ht="21" customHeight="1" x14ac:dyDescent="0.25">
      <c r="A71" s="419" t="s">
        <v>83</v>
      </c>
      <c r="B71" s="401" t="s">
        <v>84</v>
      </c>
      <c r="C71" s="401" t="s">
        <v>73</v>
      </c>
      <c r="D71" s="401"/>
      <c r="E71" s="388">
        <v>0</v>
      </c>
      <c r="F71" s="388"/>
      <c r="G71" s="388"/>
      <c r="H71" s="169">
        <f>E71*1</f>
        <v>0</v>
      </c>
      <c r="I71" s="388">
        <f>H71+H72+H73+H74+H75+H76</f>
        <v>12</v>
      </c>
      <c r="J71" s="388">
        <v>0</v>
      </c>
      <c r="K71" s="388"/>
      <c r="L71" s="388"/>
      <c r="M71" s="169">
        <f>J71*1</f>
        <v>0</v>
      </c>
      <c r="N71" s="388">
        <v>4</v>
      </c>
      <c r="O71" s="388">
        <v>0</v>
      </c>
      <c r="P71" s="388"/>
      <c r="Q71" s="388"/>
      <c r="R71" s="169">
        <f>O71*1</f>
        <v>0</v>
      </c>
      <c r="S71" s="388">
        <f>R76+R75+R74+R73+R72+R71</f>
        <v>4210</v>
      </c>
      <c r="T71" s="388">
        <v>0</v>
      </c>
      <c r="U71" s="388"/>
      <c r="V71" s="388"/>
      <c r="W71" s="169">
        <f>T71*1</f>
        <v>0</v>
      </c>
      <c r="X71" s="388">
        <f>W71+W72+W73+W74+W75+W76</f>
        <v>0</v>
      </c>
      <c r="Y71" s="164"/>
      <c r="Z71" s="181"/>
      <c r="AA71" s="181"/>
      <c r="AB71" s="181"/>
      <c r="AC71" s="181"/>
    </row>
    <row r="72" spans="1:29" ht="21" customHeight="1" x14ac:dyDescent="0.25">
      <c r="A72" s="419"/>
      <c r="B72" s="401"/>
      <c r="C72" s="401" t="s">
        <v>74</v>
      </c>
      <c r="D72" s="401"/>
      <c r="E72" s="388">
        <v>0</v>
      </c>
      <c r="F72" s="388"/>
      <c r="G72" s="388"/>
      <c r="H72" s="169">
        <f>E72*5</f>
        <v>0</v>
      </c>
      <c r="I72" s="388"/>
      <c r="J72" s="388">
        <v>0</v>
      </c>
      <c r="K72" s="388"/>
      <c r="L72" s="388"/>
      <c r="M72" s="169">
        <f>J72*5</f>
        <v>0</v>
      </c>
      <c r="N72" s="388"/>
      <c r="O72" s="388">
        <v>0</v>
      </c>
      <c r="P72" s="388"/>
      <c r="Q72" s="388"/>
      <c r="R72" s="169">
        <f>O72*5</f>
        <v>0</v>
      </c>
      <c r="S72" s="388"/>
      <c r="T72" s="388">
        <v>0</v>
      </c>
      <c r="U72" s="388"/>
      <c r="V72" s="388"/>
      <c r="W72" s="169">
        <f>T72*5</f>
        <v>0</v>
      </c>
      <c r="X72" s="388"/>
      <c r="Y72" s="164"/>
      <c r="Z72" s="181"/>
      <c r="AA72" s="181"/>
      <c r="AB72" s="181"/>
      <c r="AC72" s="181"/>
    </row>
    <row r="73" spans="1:29" ht="21" customHeight="1" x14ac:dyDescent="0.25">
      <c r="A73" s="419"/>
      <c r="B73" s="401"/>
      <c r="C73" s="401" t="s">
        <v>75</v>
      </c>
      <c r="D73" s="401"/>
      <c r="E73" s="388">
        <v>0</v>
      </c>
      <c r="F73" s="388"/>
      <c r="G73" s="388"/>
      <c r="H73" s="169">
        <f>E73*10</f>
        <v>0</v>
      </c>
      <c r="I73" s="388"/>
      <c r="J73" s="388">
        <v>0</v>
      </c>
      <c r="K73" s="388"/>
      <c r="L73" s="388"/>
      <c r="M73" s="169">
        <f>J73*10</f>
        <v>0</v>
      </c>
      <c r="N73" s="388"/>
      <c r="O73" s="388">
        <v>0</v>
      </c>
      <c r="P73" s="388"/>
      <c r="Q73" s="388"/>
      <c r="R73" s="169">
        <f>O73*10</f>
        <v>0</v>
      </c>
      <c r="S73" s="388"/>
      <c r="T73" s="388">
        <v>0</v>
      </c>
      <c r="U73" s="388"/>
      <c r="V73" s="388"/>
      <c r="W73" s="169">
        <f>T73*10</f>
        <v>0</v>
      </c>
      <c r="X73" s="388"/>
      <c r="Y73" s="164"/>
      <c r="Z73" s="181"/>
      <c r="AA73" s="181"/>
      <c r="AB73" s="181"/>
      <c r="AC73" s="181"/>
    </row>
    <row r="74" spans="1:29" ht="21" customHeight="1" x14ac:dyDescent="0.25">
      <c r="A74" s="419"/>
      <c r="B74" s="401"/>
      <c r="C74" s="401" t="s">
        <v>85</v>
      </c>
      <c r="D74" s="401"/>
      <c r="E74" s="388">
        <v>0</v>
      </c>
      <c r="F74" s="388"/>
      <c r="G74" s="388"/>
      <c r="H74" s="169">
        <f>E74*100</f>
        <v>0</v>
      </c>
      <c r="I74" s="388"/>
      <c r="J74" s="388">
        <v>10</v>
      </c>
      <c r="K74" s="388"/>
      <c r="L74" s="388"/>
      <c r="M74" s="169">
        <f>J74*100</f>
        <v>1000</v>
      </c>
      <c r="N74" s="388"/>
      <c r="O74" s="388">
        <v>0</v>
      </c>
      <c r="P74" s="388"/>
      <c r="Q74" s="388"/>
      <c r="R74" s="169">
        <f>O74*100</f>
        <v>0</v>
      </c>
      <c r="S74" s="388"/>
      <c r="T74" s="388">
        <v>0</v>
      </c>
      <c r="U74" s="388"/>
      <c r="V74" s="388"/>
      <c r="W74" s="169">
        <f>T74*100</f>
        <v>0</v>
      </c>
      <c r="X74" s="388"/>
      <c r="Y74" s="164"/>
      <c r="Z74" s="181"/>
      <c r="AA74" s="181"/>
      <c r="AB74" s="181"/>
      <c r="AC74" s="181"/>
    </row>
    <row r="75" spans="1:29" ht="23.25" customHeight="1" x14ac:dyDescent="0.25">
      <c r="A75" s="419"/>
      <c r="B75" s="401"/>
      <c r="C75" s="401" t="s">
        <v>86</v>
      </c>
      <c r="D75" s="401"/>
      <c r="E75" s="388">
        <v>0</v>
      </c>
      <c r="F75" s="388"/>
      <c r="G75" s="388"/>
      <c r="H75" s="169">
        <f>E75*300</f>
        <v>0</v>
      </c>
      <c r="I75" s="388"/>
      <c r="J75" s="388">
        <v>0</v>
      </c>
      <c r="K75" s="388"/>
      <c r="L75" s="388"/>
      <c r="M75" s="169">
        <f>J75*300</f>
        <v>0</v>
      </c>
      <c r="N75" s="388"/>
      <c r="O75" s="388">
        <v>14</v>
      </c>
      <c r="P75" s="388"/>
      <c r="Q75" s="388"/>
      <c r="R75" s="169">
        <f>O75*300</f>
        <v>4200</v>
      </c>
      <c r="S75" s="388"/>
      <c r="T75" s="388">
        <v>0</v>
      </c>
      <c r="U75" s="388"/>
      <c r="V75" s="388"/>
      <c r="W75" s="169">
        <f>T75*300</f>
        <v>0</v>
      </c>
      <c r="X75" s="388"/>
      <c r="Y75" s="164"/>
      <c r="Z75" s="181"/>
      <c r="AA75" s="181"/>
      <c r="AB75" s="181"/>
      <c r="AC75" s="181"/>
    </row>
    <row r="76" spans="1:29" ht="56.25" customHeight="1" x14ac:dyDescent="0.25">
      <c r="A76" s="419"/>
      <c r="B76" s="401"/>
      <c r="C76" s="401" t="s">
        <v>78</v>
      </c>
      <c r="D76" s="401"/>
      <c r="E76" s="388">
        <v>12</v>
      </c>
      <c r="F76" s="388"/>
      <c r="G76" s="388"/>
      <c r="H76" s="169">
        <f>E76*1</f>
        <v>12</v>
      </c>
      <c r="I76" s="388"/>
      <c r="J76" s="388">
        <v>20</v>
      </c>
      <c r="K76" s="388"/>
      <c r="L76" s="388"/>
      <c r="M76" s="169">
        <f t="shared" ref="M76" si="10">J76*1</f>
        <v>20</v>
      </c>
      <c r="N76" s="388"/>
      <c r="O76" s="388">
        <v>10</v>
      </c>
      <c r="P76" s="388"/>
      <c r="Q76" s="388"/>
      <c r="R76" s="169">
        <f t="shared" ref="R76" si="11">O76*1</f>
        <v>10</v>
      </c>
      <c r="S76" s="388"/>
      <c r="T76" s="388">
        <v>0</v>
      </c>
      <c r="U76" s="388"/>
      <c r="V76" s="388"/>
      <c r="W76" s="169">
        <f t="shared" ref="W76" si="12">T76*1</f>
        <v>0</v>
      </c>
      <c r="X76" s="388"/>
      <c r="Y76" s="164"/>
      <c r="Z76" s="181"/>
      <c r="AA76" s="181"/>
      <c r="AB76" s="181"/>
      <c r="AC76" s="181"/>
    </row>
    <row r="77" spans="1:29" ht="21" customHeight="1" x14ac:dyDescent="0.25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75">
        <f>I71+N71+S71+X71</f>
        <v>4226</v>
      </c>
      <c r="Y77" s="164"/>
      <c r="Z77" s="181"/>
      <c r="AA77" s="181"/>
      <c r="AB77" s="181"/>
      <c r="AC77" s="181"/>
    </row>
    <row r="78" spans="1:29" ht="21" customHeight="1" x14ac:dyDescent="0.25">
      <c r="A78" s="177"/>
      <c r="B78" s="177"/>
      <c r="C78" s="177"/>
      <c r="D78" s="177"/>
      <c r="E78" s="384" t="s">
        <v>31</v>
      </c>
      <c r="F78" s="384"/>
      <c r="G78" s="384"/>
      <c r="H78" s="384"/>
      <c r="I78" s="384"/>
      <c r="J78" s="384" t="s">
        <v>32</v>
      </c>
      <c r="K78" s="384"/>
      <c r="L78" s="384"/>
      <c r="M78" s="384"/>
      <c r="N78" s="384"/>
      <c r="O78" s="384" t="s">
        <v>33</v>
      </c>
      <c r="P78" s="384"/>
      <c r="Q78" s="384"/>
      <c r="R78" s="384"/>
      <c r="S78" s="384"/>
      <c r="T78" s="384" t="s">
        <v>34</v>
      </c>
      <c r="U78" s="384"/>
      <c r="V78" s="384"/>
      <c r="W78" s="384"/>
      <c r="X78" s="384"/>
      <c r="Y78" s="164"/>
      <c r="Z78" s="181"/>
      <c r="AA78" s="181"/>
      <c r="AB78" s="181"/>
      <c r="AC78" s="181"/>
    </row>
    <row r="79" spans="1:29" ht="21" customHeight="1" x14ac:dyDescent="0.25">
      <c r="A79" s="177"/>
      <c r="B79" s="177"/>
      <c r="C79" s="402"/>
      <c r="D79" s="402"/>
      <c r="E79" s="388" t="s">
        <v>70</v>
      </c>
      <c r="F79" s="388"/>
      <c r="G79" s="388"/>
      <c r="H79" s="169" t="s">
        <v>7</v>
      </c>
      <c r="I79" s="169" t="s">
        <v>12</v>
      </c>
      <c r="J79" s="388" t="s">
        <v>70</v>
      </c>
      <c r="K79" s="388"/>
      <c r="L79" s="388"/>
      <c r="M79" s="169" t="s">
        <v>7</v>
      </c>
      <c r="N79" s="169" t="s">
        <v>12</v>
      </c>
      <c r="O79" s="388" t="s">
        <v>70</v>
      </c>
      <c r="P79" s="388"/>
      <c r="Q79" s="388"/>
      <c r="R79" s="169" t="s">
        <v>7</v>
      </c>
      <c r="S79" s="169" t="s">
        <v>12</v>
      </c>
      <c r="T79" s="388" t="s">
        <v>70</v>
      </c>
      <c r="U79" s="388"/>
      <c r="V79" s="388"/>
      <c r="W79" s="169" t="s">
        <v>7</v>
      </c>
      <c r="X79" s="169" t="s">
        <v>12</v>
      </c>
      <c r="Y79" s="164"/>
      <c r="Z79" s="181"/>
      <c r="AA79" s="181"/>
      <c r="AB79" s="181"/>
      <c r="AC79" s="181"/>
    </row>
    <row r="80" spans="1:29" ht="21" customHeight="1" x14ac:dyDescent="0.25">
      <c r="A80" s="419" t="s">
        <v>87</v>
      </c>
      <c r="B80" s="401" t="s">
        <v>88</v>
      </c>
      <c r="C80" s="401" t="s">
        <v>73</v>
      </c>
      <c r="D80" s="401"/>
      <c r="E80" s="388">
        <v>12</v>
      </c>
      <c r="F80" s="388"/>
      <c r="G80" s="388"/>
      <c r="H80" s="169">
        <f>E80*1</f>
        <v>12</v>
      </c>
      <c r="I80" s="388">
        <f>H80+H81+H82+H83+H84+H85</f>
        <v>24</v>
      </c>
      <c r="J80" s="388">
        <v>0</v>
      </c>
      <c r="K80" s="388"/>
      <c r="L80" s="388"/>
      <c r="M80" s="169">
        <f>J80*1</f>
        <v>0</v>
      </c>
      <c r="N80" s="388">
        <f>M80+M81+M85+M84+M83+M82</f>
        <v>0</v>
      </c>
      <c r="O80" s="388">
        <v>0</v>
      </c>
      <c r="P80" s="388"/>
      <c r="Q80" s="388"/>
      <c r="R80" s="169">
        <f>O80*1</f>
        <v>0</v>
      </c>
      <c r="S80" s="388">
        <f>R85+R84+R83+R82+R81+R80</f>
        <v>0</v>
      </c>
      <c r="T80" s="388">
        <v>0</v>
      </c>
      <c r="U80" s="388"/>
      <c r="V80" s="388"/>
      <c r="W80" s="169">
        <f>T80*1</f>
        <v>0</v>
      </c>
      <c r="X80" s="388">
        <f>W80+W81+W82+W83+W84+W85</f>
        <v>0</v>
      </c>
      <c r="Y80" s="164"/>
      <c r="Z80" s="181"/>
      <c r="AA80" s="181"/>
      <c r="AB80" s="181"/>
      <c r="AC80" s="181"/>
    </row>
    <row r="81" spans="1:29" ht="23.25" customHeight="1" x14ac:dyDescent="0.25">
      <c r="A81" s="419"/>
      <c r="B81" s="401"/>
      <c r="C81" s="401" t="s">
        <v>74</v>
      </c>
      <c r="D81" s="401"/>
      <c r="E81" s="388">
        <v>0</v>
      </c>
      <c r="F81" s="388"/>
      <c r="G81" s="388"/>
      <c r="H81" s="169">
        <f>E81*5</f>
        <v>0</v>
      </c>
      <c r="I81" s="388"/>
      <c r="J81" s="388">
        <v>0</v>
      </c>
      <c r="K81" s="388"/>
      <c r="L81" s="388"/>
      <c r="M81" s="169">
        <f>J81*5</f>
        <v>0</v>
      </c>
      <c r="N81" s="388"/>
      <c r="O81" s="388">
        <v>0</v>
      </c>
      <c r="P81" s="388"/>
      <c r="Q81" s="388"/>
      <c r="R81" s="169">
        <f>O81*5</f>
        <v>0</v>
      </c>
      <c r="S81" s="388"/>
      <c r="T81" s="388">
        <v>0</v>
      </c>
      <c r="U81" s="388"/>
      <c r="V81" s="388"/>
      <c r="W81" s="169">
        <f>T81*5</f>
        <v>0</v>
      </c>
      <c r="X81" s="388"/>
      <c r="Y81" s="164"/>
      <c r="Z81" s="181"/>
      <c r="AA81" s="181"/>
      <c r="AB81" s="181"/>
      <c r="AC81" s="181"/>
    </row>
    <row r="82" spans="1:29" ht="21" customHeight="1" x14ac:dyDescent="0.25">
      <c r="A82" s="419"/>
      <c r="B82" s="401"/>
      <c r="C82" s="401" t="s">
        <v>75</v>
      </c>
      <c r="D82" s="401"/>
      <c r="E82" s="388">
        <v>0</v>
      </c>
      <c r="F82" s="388"/>
      <c r="G82" s="388"/>
      <c r="H82" s="169">
        <f>E82*10</f>
        <v>0</v>
      </c>
      <c r="I82" s="388"/>
      <c r="J82" s="388">
        <v>0</v>
      </c>
      <c r="K82" s="388"/>
      <c r="L82" s="388"/>
      <c r="M82" s="169">
        <f>J82*10</f>
        <v>0</v>
      </c>
      <c r="N82" s="388"/>
      <c r="O82" s="388">
        <v>0</v>
      </c>
      <c r="P82" s="388"/>
      <c r="Q82" s="388"/>
      <c r="R82" s="169">
        <f>O82*10</f>
        <v>0</v>
      </c>
      <c r="S82" s="388"/>
      <c r="T82" s="388">
        <v>0</v>
      </c>
      <c r="U82" s="388"/>
      <c r="V82" s="388"/>
      <c r="W82" s="169">
        <f>T82*10</f>
        <v>0</v>
      </c>
      <c r="X82" s="388"/>
      <c r="Y82" s="164"/>
      <c r="Z82" s="181"/>
      <c r="AA82" s="181"/>
      <c r="AB82" s="181"/>
      <c r="AC82" s="181"/>
    </row>
    <row r="83" spans="1:29" ht="21" customHeight="1" x14ac:dyDescent="0.25">
      <c r="A83" s="419"/>
      <c r="B83" s="401"/>
      <c r="C83" s="401" t="s">
        <v>85</v>
      </c>
      <c r="D83" s="401"/>
      <c r="E83" s="388">
        <v>0</v>
      </c>
      <c r="F83" s="388"/>
      <c r="G83" s="388"/>
      <c r="H83" s="169">
        <f>E83*100</f>
        <v>0</v>
      </c>
      <c r="I83" s="388"/>
      <c r="J83" s="388">
        <v>0</v>
      </c>
      <c r="K83" s="388"/>
      <c r="L83" s="388"/>
      <c r="M83" s="169">
        <f>J83*100</f>
        <v>0</v>
      </c>
      <c r="N83" s="388"/>
      <c r="O83" s="388">
        <v>0</v>
      </c>
      <c r="P83" s="388"/>
      <c r="Q83" s="388"/>
      <c r="R83" s="169">
        <f>O83*100</f>
        <v>0</v>
      </c>
      <c r="S83" s="388"/>
      <c r="T83" s="388">
        <v>0</v>
      </c>
      <c r="U83" s="388"/>
      <c r="V83" s="388"/>
      <c r="W83" s="169">
        <f>T83*100</f>
        <v>0</v>
      </c>
      <c r="X83" s="388"/>
      <c r="Y83" s="164"/>
      <c r="Z83" s="181"/>
      <c r="AA83" s="181"/>
      <c r="AB83" s="181"/>
      <c r="AC83" s="181"/>
    </row>
    <row r="84" spans="1:29" ht="21" customHeight="1" x14ac:dyDescent="0.25">
      <c r="A84" s="419"/>
      <c r="B84" s="401"/>
      <c r="C84" s="401" t="s">
        <v>86</v>
      </c>
      <c r="D84" s="401"/>
      <c r="E84" s="388">
        <v>0</v>
      </c>
      <c r="F84" s="388"/>
      <c r="G84" s="388"/>
      <c r="H84" s="169">
        <f>E84*300</f>
        <v>0</v>
      </c>
      <c r="I84" s="388"/>
      <c r="J84" s="388">
        <v>0</v>
      </c>
      <c r="K84" s="388"/>
      <c r="L84" s="388"/>
      <c r="M84" s="169">
        <f>J84*300</f>
        <v>0</v>
      </c>
      <c r="N84" s="388"/>
      <c r="O84" s="388">
        <v>0</v>
      </c>
      <c r="P84" s="388"/>
      <c r="Q84" s="388"/>
      <c r="R84" s="169">
        <f>O84*300</f>
        <v>0</v>
      </c>
      <c r="S84" s="388"/>
      <c r="T84" s="388">
        <v>0</v>
      </c>
      <c r="U84" s="388"/>
      <c r="V84" s="388"/>
      <c r="W84" s="169">
        <f>T84*300</f>
        <v>0</v>
      </c>
      <c r="X84" s="388"/>
      <c r="Y84" s="164"/>
      <c r="Z84" s="181"/>
      <c r="AA84" s="181"/>
      <c r="AB84" s="181"/>
      <c r="AC84" s="181"/>
    </row>
    <row r="85" spans="1:29" ht="21" customHeight="1" x14ac:dyDescent="0.25">
      <c r="A85" s="419"/>
      <c r="B85" s="401"/>
      <c r="C85" s="401" t="s">
        <v>78</v>
      </c>
      <c r="D85" s="401"/>
      <c r="E85" s="388">
        <v>12</v>
      </c>
      <c r="F85" s="388"/>
      <c r="G85" s="388"/>
      <c r="H85" s="169">
        <f>E85*1</f>
        <v>12</v>
      </c>
      <c r="I85" s="388"/>
      <c r="J85" s="388">
        <v>0</v>
      </c>
      <c r="K85" s="388"/>
      <c r="L85" s="388"/>
      <c r="M85" s="169">
        <f t="shared" ref="M85" si="13">J85*1</f>
        <v>0</v>
      </c>
      <c r="N85" s="388"/>
      <c r="O85" s="388">
        <v>0</v>
      </c>
      <c r="P85" s="388"/>
      <c r="Q85" s="388"/>
      <c r="R85" s="169">
        <v>0</v>
      </c>
      <c r="S85" s="388"/>
      <c r="T85" s="388">
        <v>0</v>
      </c>
      <c r="U85" s="388"/>
      <c r="V85" s="388"/>
      <c r="W85" s="169">
        <f t="shared" ref="W85" si="14">T85*1</f>
        <v>0</v>
      </c>
      <c r="X85" s="388"/>
      <c r="Y85" s="164"/>
      <c r="Z85" s="181"/>
      <c r="AA85" s="181"/>
      <c r="AB85" s="181"/>
      <c r="AC85" s="181"/>
    </row>
    <row r="86" spans="1:29" ht="21" customHeight="1" x14ac:dyDescent="0.25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75">
        <f>I80+N80+S80+X80</f>
        <v>24</v>
      </c>
      <c r="Y86" s="164"/>
      <c r="Z86" s="181"/>
      <c r="AA86" s="181"/>
      <c r="AB86" s="181"/>
      <c r="AC86" s="181"/>
    </row>
    <row r="87" spans="1:29" ht="23.25" customHeight="1" x14ac:dyDescent="0.25">
      <c r="A87" s="177"/>
      <c r="B87" s="177"/>
      <c r="C87" s="177"/>
      <c r="D87" s="177"/>
      <c r="E87" s="384" t="s">
        <v>31</v>
      </c>
      <c r="F87" s="384"/>
      <c r="G87" s="384"/>
      <c r="H87" s="384"/>
      <c r="I87" s="384"/>
      <c r="J87" s="384" t="s">
        <v>32</v>
      </c>
      <c r="K87" s="384"/>
      <c r="L87" s="384"/>
      <c r="M87" s="384"/>
      <c r="N87" s="384"/>
      <c r="O87" s="384" t="s">
        <v>33</v>
      </c>
      <c r="P87" s="384"/>
      <c r="Q87" s="384"/>
      <c r="R87" s="384"/>
      <c r="S87" s="384"/>
      <c r="T87" s="384" t="s">
        <v>34</v>
      </c>
      <c r="U87" s="384"/>
      <c r="V87" s="384"/>
      <c r="W87" s="384"/>
      <c r="X87" s="384"/>
      <c r="Y87" s="164"/>
      <c r="Z87" s="181"/>
      <c r="AA87" s="181"/>
      <c r="AB87" s="181"/>
      <c r="AC87" s="181"/>
    </row>
    <row r="88" spans="1:29" ht="21" customHeight="1" x14ac:dyDescent="0.25">
      <c r="A88" s="177"/>
      <c r="B88" s="177"/>
      <c r="C88" s="402"/>
      <c r="D88" s="402"/>
      <c r="E88" s="388" t="s">
        <v>70</v>
      </c>
      <c r="F88" s="388"/>
      <c r="G88" s="388"/>
      <c r="H88" s="169" t="s">
        <v>7</v>
      </c>
      <c r="I88" s="169" t="s">
        <v>12</v>
      </c>
      <c r="J88" s="388" t="s">
        <v>70</v>
      </c>
      <c r="K88" s="388"/>
      <c r="L88" s="388"/>
      <c r="M88" s="169" t="s">
        <v>7</v>
      </c>
      <c r="N88" s="169" t="s">
        <v>12</v>
      </c>
      <c r="O88" s="388" t="s">
        <v>70</v>
      </c>
      <c r="P88" s="388"/>
      <c r="Q88" s="388"/>
      <c r="R88" s="169" t="s">
        <v>7</v>
      </c>
      <c r="S88" s="169" t="s">
        <v>12</v>
      </c>
      <c r="T88" s="388" t="s">
        <v>70</v>
      </c>
      <c r="U88" s="388"/>
      <c r="V88" s="388"/>
      <c r="W88" s="169" t="s">
        <v>7</v>
      </c>
      <c r="X88" s="169" t="s">
        <v>12</v>
      </c>
      <c r="Y88" s="164"/>
      <c r="Z88" s="181"/>
      <c r="AA88" s="181"/>
      <c r="AB88" s="181"/>
      <c r="AC88" s="181"/>
    </row>
    <row r="89" spans="1:29" ht="21" customHeight="1" x14ac:dyDescent="0.25">
      <c r="A89" s="419" t="s">
        <v>89</v>
      </c>
      <c r="B89" s="401" t="s">
        <v>90</v>
      </c>
      <c r="C89" s="401" t="s">
        <v>73</v>
      </c>
      <c r="D89" s="401"/>
      <c r="E89" s="388">
        <v>4</v>
      </c>
      <c r="F89" s="388"/>
      <c r="G89" s="388"/>
      <c r="H89" s="169">
        <f>E89*1</f>
        <v>4</v>
      </c>
      <c r="I89" s="388">
        <f>H89+H90+H91+H92+H93+H94</f>
        <v>8</v>
      </c>
      <c r="J89" s="388">
        <v>2</v>
      </c>
      <c r="K89" s="388"/>
      <c r="L89" s="388"/>
      <c r="M89" s="169">
        <f>J89*1</f>
        <v>2</v>
      </c>
      <c r="N89" s="388">
        <f>M89+M90+M94+M93+M92+M91</f>
        <v>306</v>
      </c>
      <c r="O89" s="388">
        <v>5</v>
      </c>
      <c r="P89" s="388"/>
      <c r="Q89" s="388"/>
      <c r="R89" s="169">
        <f>O89*1</f>
        <v>5</v>
      </c>
      <c r="S89" s="388">
        <f>R94+R93+R92+R91+R90+R89</f>
        <v>5</v>
      </c>
      <c r="T89" s="388">
        <v>0</v>
      </c>
      <c r="U89" s="388"/>
      <c r="V89" s="388"/>
      <c r="W89" s="169">
        <f>T89*1</f>
        <v>0</v>
      </c>
      <c r="X89" s="388">
        <f>W89+W90+W91+W92+W93+W94</f>
        <v>0</v>
      </c>
      <c r="Y89" s="164"/>
      <c r="Z89" s="181"/>
      <c r="AA89" s="181"/>
      <c r="AB89" s="181"/>
      <c r="AC89" s="181"/>
    </row>
    <row r="90" spans="1:29" ht="21" customHeight="1" x14ac:dyDescent="0.25">
      <c r="A90" s="419"/>
      <c r="B90" s="401"/>
      <c r="C90" s="401" t="s">
        <v>74</v>
      </c>
      <c r="D90" s="401"/>
      <c r="E90" s="388">
        <v>0</v>
      </c>
      <c r="F90" s="388"/>
      <c r="G90" s="388"/>
      <c r="H90" s="169">
        <f>E90*5</f>
        <v>0</v>
      </c>
      <c r="I90" s="388"/>
      <c r="J90" s="388">
        <v>0</v>
      </c>
      <c r="K90" s="388"/>
      <c r="L90" s="388"/>
      <c r="M90" s="169">
        <f>J90*5</f>
        <v>0</v>
      </c>
      <c r="N90" s="388"/>
      <c r="O90" s="388">
        <v>0</v>
      </c>
      <c r="P90" s="388"/>
      <c r="Q90" s="388"/>
      <c r="R90" s="169">
        <f>O90*5</f>
        <v>0</v>
      </c>
      <c r="S90" s="388"/>
      <c r="T90" s="388">
        <v>0</v>
      </c>
      <c r="U90" s="388"/>
      <c r="V90" s="388"/>
      <c r="W90" s="169">
        <f>T90*5</f>
        <v>0</v>
      </c>
      <c r="X90" s="388"/>
      <c r="Y90" s="164"/>
      <c r="Z90" s="181"/>
      <c r="AA90" s="181"/>
      <c r="AB90" s="181"/>
      <c r="AC90" s="181"/>
    </row>
    <row r="91" spans="1:29" ht="21" customHeight="1" x14ac:dyDescent="0.25">
      <c r="A91" s="419"/>
      <c r="B91" s="401"/>
      <c r="C91" s="401" t="s">
        <v>75</v>
      </c>
      <c r="D91" s="401"/>
      <c r="E91" s="388">
        <v>0</v>
      </c>
      <c r="F91" s="388"/>
      <c r="G91" s="388"/>
      <c r="H91" s="169">
        <f>E91*10</f>
        <v>0</v>
      </c>
      <c r="I91" s="388"/>
      <c r="J91" s="388">
        <v>0</v>
      </c>
      <c r="K91" s="388"/>
      <c r="L91" s="388"/>
      <c r="M91" s="169">
        <v>0</v>
      </c>
      <c r="N91" s="388"/>
      <c r="O91" s="388">
        <v>0</v>
      </c>
      <c r="P91" s="388"/>
      <c r="Q91" s="388"/>
      <c r="R91" s="169">
        <f>O91*10</f>
        <v>0</v>
      </c>
      <c r="S91" s="388"/>
      <c r="T91" s="388">
        <v>0</v>
      </c>
      <c r="U91" s="388"/>
      <c r="V91" s="388"/>
      <c r="W91" s="169">
        <f>T91*10</f>
        <v>0</v>
      </c>
      <c r="X91" s="388"/>
      <c r="Y91" s="164"/>
      <c r="Z91" s="181"/>
      <c r="AA91" s="181"/>
      <c r="AB91" s="181"/>
      <c r="AC91" s="181"/>
    </row>
    <row r="92" spans="1:29" ht="21" customHeight="1" x14ac:dyDescent="0.25">
      <c r="A92" s="419"/>
      <c r="B92" s="401"/>
      <c r="C92" s="401" t="s">
        <v>85</v>
      </c>
      <c r="D92" s="401"/>
      <c r="E92" s="388">
        <v>0</v>
      </c>
      <c r="F92" s="388"/>
      <c r="G92" s="388"/>
      <c r="H92" s="169">
        <f>E92*100</f>
        <v>0</v>
      </c>
      <c r="I92" s="388"/>
      <c r="J92" s="388">
        <v>3</v>
      </c>
      <c r="K92" s="388"/>
      <c r="L92" s="388"/>
      <c r="M92" s="169">
        <f>J92*100</f>
        <v>300</v>
      </c>
      <c r="N92" s="388"/>
      <c r="O92" s="388">
        <v>0</v>
      </c>
      <c r="P92" s="388"/>
      <c r="Q92" s="388"/>
      <c r="R92" s="169">
        <f>O92*100</f>
        <v>0</v>
      </c>
      <c r="S92" s="388"/>
      <c r="T92" s="388">
        <v>0</v>
      </c>
      <c r="U92" s="388"/>
      <c r="V92" s="388"/>
      <c r="W92" s="169">
        <f>T92*100</f>
        <v>0</v>
      </c>
      <c r="X92" s="388"/>
      <c r="Y92" s="164"/>
      <c r="Z92" s="181"/>
      <c r="AA92" s="181"/>
      <c r="AB92" s="181"/>
      <c r="AC92" s="181"/>
    </row>
    <row r="93" spans="1:29" ht="21" customHeight="1" x14ac:dyDescent="0.25">
      <c r="A93" s="419"/>
      <c r="B93" s="401"/>
      <c r="C93" s="401" t="s">
        <v>86</v>
      </c>
      <c r="D93" s="401"/>
      <c r="E93" s="388">
        <v>0</v>
      </c>
      <c r="F93" s="388"/>
      <c r="G93" s="388"/>
      <c r="H93" s="169">
        <f>E93*300</f>
        <v>0</v>
      </c>
      <c r="I93" s="388"/>
      <c r="J93" s="388">
        <v>0</v>
      </c>
      <c r="K93" s="388"/>
      <c r="L93" s="388"/>
      <c r="M93" s="169">
        <f>J93*300</f>
        <v>0</v>
      </c>
      <c r="N93" s="388"/>
      <c r="O93" s="388">
        <v>0</v>
      </c>
      <c r="P93" s="388"/>
      <c r="Q93" s="388"/>
      <c r="R93" s="169">
        <f>O93*300</f>
        <v>0</v>
      </c>
      <c r="S93" s="388"/>
      <c r="T93" s="388">
        <v>0</v>
      </c>
      <c r="U93" s="388"/>
      <c r="V93" s="388"/>
      <c r="W93" s="169">
        <f>T93*300</f>
        <v>0</v>
      </c>
      <c r="X93" s="388"/>
      <c r="Y93" s="164"/>
      <c r="Z93" s="181"/>
      <c r="AA93" s="181"/>
      <c r="AB93" s="181"/>
      <c r="AC93" s="181"/>
    </row>
    <row r="94" spans="1:29" ht="21" customHeight="1" x14ac:dyDescent="0.25">
      <c r="A94" s="419"/>
      <c r="B94" s="401"/>
      <c r="C94" s="401" t="s">
        <v>78</v>
      </c>
      <c r="D94" s="401"/>
      <c r="E94" s="388">
        <v>4</v>
      </c>
      <c r="F94" s="388"/>
      <c r="G94" s="388"/>
      <c r="H94" s="169">
        <f>E94*1</f>
        <v>4</v>
      </c>
      <c r="I94" s="388"/>
      <c r="J94" s="388">
        <v>4</v>
      </c>
      <c r="K94" s="388"/>
      <c r="L94" s="388"/>
      <c r="M94" s="169">
        <f t="shared" ref="M94" si="15">J94*1</f>
        <v>4</v>
      </c>
      <c r="N94" s="388"/>
      <c r="O94" s="388">
        <v>0</v>
      </c>
      <c r="P94" s="388"/>
      <c r="Q94" s="388"/>
      <c r="R94" s="169">
        <f t="shared" ref="R94" si="16">O94*1</f>
        <v>0</v>
      </c>
      <c r="S94" s="388"/>
      <c r="T94" s="388">
        <v>0</v>
      </c>
      <c r="U94" s="388"/>
      <c r="V94" s="388"/>
      <c r="W94" s="169">
        <f t="shared" ref="W94" si="17">T94*1</f>
        <v>0</v>
      </c>
      <c r="X94" s="388"/>
      <c r="Y94" s="164"/>
      <c r="Z94" s="181"/>
      <c r="AA94" s="181"/>
      <c r="AB94" s="181"/>
      <c r="AC94" s="181"/>
    </row>
    <row r="95" spans="1:29" ht="21" customHeight="1" x14ac:dyDescent="0.25">
      <c r="A95" s="403"/>
      <c r="B95" s="403"/>
      <c r="C95" s="403"/>
      <c r="D95" s="403"/>
      <c r="E95" s="403"/>
      <c r="F95" s="403"/>
      <c r="G95" s="403"/>
      <c r="H95" s="403"/>
      <c r="I95" s="403"/>
      <c r="J95" s="403"/>
      <c r="K95" s="403"/>
      <c r="L95" s="403"/>
      <c r="M95" s="403"/>
      <c r="N95" s="403"/>
      <c r="O95" s="403"/>
      <c r="P95" s="403"/>
      <c r="Q95" s="403"/>
      <c r="R95" s="403"/>
      <c r="S95" s="403"/>
      <c r="T95" s="403"/>
      <c r="U95" s="403"/>
      <c r="V95" s="403"/>
      <c r="W95" s="403"/>
      <c r="X95" s="175">
        <f>I89+N89+S89+X89</f>
        <v>319</v>
      </c>
      <c r="Y95" s="164"/>
      <c r="Z95" s="181"/>
      <c r="AA95" s="181"/>
      <c r="AB95" s="181"/>
      <c r="AC95" s="181"/>
    </row>
    <row r="96" spans="1:29" ht="21" customHeight="1" x14ac:dyDescent="0.25">
      <c r="A96" s="404" t="s">
        <v>91</v>
      </c>
      <c r="B96" s="404"/>
      <c r="C96" s="404"/>
      <c r="D96" s="404"/>
      <c r="E96" s="404"/>
      <c r="F96" s="404"/>
      <c r="G96" s="404"/>
      <c r="H96" s="404"/>
      <c r="I96" s="404"/>
      <c r="J96" s="404"/>
      <c r="K96" s="404"/>
      <c r="L96" s="404"/>
      <c r="M96" s="404"/>
      <c r="N96" s="404"/>
      <c r="O96" s="404"/>
      <c r="P96" s="404"/>
      <c r="Q96" s="404"/>
      <c r="R96" s="404"/>
      <c r="S96" s="404"/>
      <c r="T96" s="404"/>
      <c r="U96" s="404"/>
      <c r="V96" s="404"/>
      <c r="W96" s="404"/>
      <c r="X96" s="175">
        <f>X50+X59+X68+X77+X86+X95</f>
        <v>5395</v>
      </c>
      <c r="Y96" s="164"/>
      <c r="Z96" s="181"/>
      <c r="AA96" s="181"/>
      <c r="AB96" s="181"/>
      <c r="AC96" s="181"/>
    </row>
    <row r="97" spans="1:29" s="403" customFormat="1" ht="21" customHeight="1" x14ac:dyDescent="0.25"/>
    <row r="98" spans="1:29" ht="21" customHeight="1" x14ac:dyDescent="0.25">
      <c r="A98" s="404" t="s">
        <v>92</v>
      </c>
      <c r="B98" s="404"/>
      <c r="C98" s="404"/>
      <c r="D98" s="404"/>
      <c r="E98" s="404"/>
      <c r="F98" s="404"/>
      <c r="G98" s="404"/>
      <c r="H98" s="404"/>
      <c r="I98" s="404"/>
      <c r="J98" s="404"/>
      <c r="K98" s="404"/>
      <c r="L98" s="404"/>
      <c r="M98" s="404"/>
      <c r="N98" s="404"/>
      <c r="O98" s="404"/>
      <c r="P98" s="404"/>
      <c r="Q98" s="404"/>
      <c r="R98" s="404"/>
      <c r="S98" s="404"/>
      <c r="T98" s="404"/>
      <c r="U98" s="404"/>
      <c r="V98" s="404"/>
      <c r="W98" s="404"/>
      <c r="X98" s="404"/>
      <c r="Y98" s="164"/>
      <c r="Z98" s="181"/>
      <c r="AA98" s="181"/>
      <c r="AB98" s="181"/>
      <c r="AC98" s="181"/>
    </row>
    <row r="99" spans="1:29" ht="21" customHeight="1" x14ac:dyDescent="0.25">
      <c r="A99" s="177"/>
      <c r="B99" s="177"/>
      <c r="C99" s="177"/>
      <c r="D99" s="177"/>
      <c r="E99" s="384" t="s">
        <v>31</v>
      </c>
      <c r="F99" s="384"/>
      <c r="G99" s="384"/>
      <c r="H99" s="384"/>
      <c r="I99" s="384"/>
      <c r="J99" s="384" t="s">
        <v>32</v>
      </c>
      <c r="K99" s="384"/>
      <c r="L99" s="384"/>
      <c r="M99" s="384"/>
      <c r="N99" s="384"/>
      <c r="O99" s="384" t="s">
        <v>33</v>
      </c>
      <c r="P99" s="384"/>
      <c r="Q99" s="384"/>
      <c r="R99" s="384"/>
      <c r="S99" s="384"/>
      <c r="T99" s="384" t="s">
        <v>34</v>
      </c>
      <c r="U99" s="384"/>
      <c r="V99" s="384"/>
      <c r="W99" s="384"/>
      <c r="X99" s="384"/>
      <c r="Y99" s="164"/>
      <c r="Z99" s="181"/>
      <c r="AA99" s="181"/>
      <c r="AB99" s="181"/>
      <c r="AC99" s="181"/>
    </row>
    <row r="100" spans="1:29" ht="21" customHeight="1" x14ac:dyDescent="0.25">
      <c r="A100" s="177"/>
      <c r="B100" s="177"/>
      <c r="C100" s="402"/>
      <c r="D100" s="402"/>
      <c r="E100" s="388" t="s">
        <v>70</v>
      </c>
      <c r="F100" s="388"/>
      <c r="G100" s="388"/>
      <c r="H100" s="169" t="s">
        <v>7</v>
      </c>
      <c r="I100" s="169" t="s">
        <v>12</v>
      </c>
      <c r="J100" s="388" t="s">
        <v>70</v>
      </c>
      <c r="K100" s="388"/>
      <c r="L100" s="388"/>
      <c r="M100" s="169" t="s">
        <v>7</v>
      </c>
      <c r="N100" s="169" t="s">
        <v>12</v>
      </c>
      <c r="O100" s="388" t="s">
        <v>70</v>
      </c>
      <c r="P100" s="388"/>
      <c r="Q100" s="388"/>
      <c r="R100" s="169" t="s">
        <v>7</v>
      </c>
      <c r="S100" s="169" t="s">
        <v>12</v>
      </c>
      <c r="T100" s="388" t="s">
        <v>70</v>
      </c>
      <c r="U100" s="388"/>
      <c r="V100" s="388"/>
      <c r="W100" s="169" t="s">
        <v>7</v>
      </c>
      <c r="X100" s="169" t="s">
        <v>12</v>
      </c>
      <c r="Y100" s="164"/>
      <c r="Z100" s="181"/>
      <c r="AA100" s="181"/>
      <c r="AB100" s="181"/>
      <c r="AC100" s="181"/>
    </row>
    <row r="101" spans="1:29" ht="23.25" customHeight="1" x14ac:dyDescent="0.25">
      <c r="A101" s="419" t="s">
        <v>71</v>
      </c>
      <c r="B101" s="410" t="s">
        <v>93</v>
      </c>
      <c r="C101" s="401" t="s">
        <v>94</v>
      </c>
      <c r="D101" s="401"/>
      <c r="E101" s="388">
        <v>2</v>
      </c>
      <c r="F101" s="388"/>
      <c r="G101" s="388"/>
      <c r="H101" s="169">
        <f>E101*10</f>
        <v>20</v>
      </c>
      <c r="I101" s="388">
        <f>H101+H102+H103+H104+H105</f>
        <v>20</v>
      </c>
      <c r="J101" s="388">
        <v>0</v>
      </c>
      <c r="K101" s="388"/>
      <c r="L101" s="388"/>
      <c r="M101" s="169">
        <f>J101*10</f>
        <v>0</v>
      </c>
      <c r="N101" s="388">
        <f>M101+M102+M105+M104+M103</f>
        <v>0</v>
      </c>
      <c r="O101" s="388">
        <v>0</v>
      </c>
      <c r="P101" s="388"/>
      <c r="Q101" s="388"/>
      <c r="R101" s="169">
        <f>O101*10</f>
        <v>0</v>
      </c>
      <c r="S101" s="388">
        <f>R105+R104+R103+R102+R101</f>
        <v>30</v>
      </c>
      <c r="T101" s="388">
        <v>0</v>
      </c>
      <c r="U101" s="388"/>
      <c r="V101" s="388"/>
      <c r="W101" s="169">
        <f>T101*10</f>
        <v>0</v>
      </c>
      <c r="X101" s="388">
        <f>W101+W102+W103+W104+W105</f>
        <v>0</v>
      </c>
      <c r="Y101" s="164"/>
      <c r="Z101" s="181"/>
      <c r="AA101" s="181"/>
      <c r="AB101" s="181"/>
      <c r="AC101" s="181"/>
    </row>
    <row r="102" spans="1:29" ht="21" customHeight="1" x14ac:dyDescent="0.25">
      <c r="A102" s="419"/>
      <c r="B102" s="411"/>
      <c r="C102" s="401" t="s">
        <v>95</v>
      </c>
      <c r="D102" s="401"/>
      <c r="E102" s="388">
        <v>0</v>
      </c>
      <c r="F102" s="388"/>
      <c r="G102" s="388"/>
      <c r="H102" s="169">
        <f>E102*20</f>
        <v>0</v>
      </c>
      <c r="I102" s="388"/>
      <c r="J102" s="388">
        <v>0</v>
      </c>
      <c r="K102" s="388"/>
      <c r="L102" s="388"/>
      <c r="M102" s="169">
        <f>J102*20</f>
        <v>0</v>
      </c>
      <c r="N102" s="388"/>
      <c r="O102" s="388">
        <v>0</v>
      </c>
      <c r="P102" s="388"/>
      <c r="Q102" s="388"/>
      <c r="R102" s="169">
        <f>O102*20</f>
        <v>0</v>
      </c>
      <c r="S102" s="388"/>
      <c r="T102" s="388">
        <v>0</v>
      </c>
      <c r="U102" s="388"/>
      <c r="V102" s="388"/>
      <c r="W102" s="169">
        <f>T102*20</f>
        <v>0</v>
      </c>
      <c r="X102" s="388"/>
      <c r="Y102" s="164"/>
      <c r="Z102" s="181"/>
      <c r="AA102" s="181"/>
      <c r="AB102" s="181"/>
      <c r="AC102" s="181"/>
    </row>
    <row r="103" spans="1:29" ht="21" customHeight="1" x14ac:dyDescent="0.25">
      <c r="A103" s="419"/>
      <c r="B103" s="411"/>
      <c r="C103" s="401" t="s">
        <v>96</v>
      </c>
      <c r="D103" s="401"/>
      <c r="E103" s="388">
        <v>0</v>
      </c>
      <c r="F103" s="388"/>
      <c r="G103" s="388"/>
      <c r="H103" s="169">
        <f>E103*30</f>
        <v>0</v>
      </c>
      <c r="I103" s="388"/>
      <c r="J103" s="388">
        <v>0</v>
      </c>
      <c r="K103" s="388"/>
      <c r="L103" s="388"/>
      <c r="M103" s="169">
        <f>J103*30</f>
        <v>0</v>
      </c>
      <c r="N103" s="388"/>
      <c r="O103" s="388">
        <v>1</v>
      </c>
      <c r="P103" s="388"/>
      <c r="Q103" s="388"/>
      <c r="R103" s="169">
        <f>O103*30</f>
        <v>30</v>
      </c>
      <c r="S103" s="388"/>
      <c r="T103" s="388">
        <v>0</v>
      </c>
      <c r="U103" s="388"/>
      <c r="V103" s="388"/>
      <c r="W103" s="169">
        <f>T103*30</f>
        <v>0</v>
      </c>
      <c r="X103" s="388"/>
      <c r="Y103" s="164"/>
      <c r="Z103" s="181"/>
      <c r="AA103" s="181"/>
      <c r="AB103" s="181"/>
      <c r="AC103" s="181"/>
    </row>
    <row r="104" spans="1:29" ht="21" customHeight="1" x14ac:dyDescent="0.25">
      <c r="A104" s="419"/>
      <c r="B104" s="411"/>
      <c r="C104" s="401" t="s">
        <v>97</v>
      </c>
      <c r="D104" s="401"/>
      <c r="E104" s="388">
        <v>0</v>
      </c>
      <c r="F104" s="388"/>
      <c r="G104" s="388"/>
      <c r="H104" s="169">
        <f>E104*40</f>
        <v>0</v>
      </c>
      <c r="I104" s="388"/>
      <c r="J104" s="388">
        <v>0</v>
      </c>
      <c r="K104" s="388"/>
      <c r="L104" s="388"/>
      <c r="M104" s="169">
        <f>J104*40</f>
        <v>0</v>
      </c>
      <c r="N104" s="388"/>
      <c r="O104" s="388">
        <v>0</v>
      </c>
      <c r="P104" s="388"/>
      <c r="Q104" s="388"/>
      <c r="R104" s="169">
        <f>O104*40</f>
        <v>0</v>
      </c>
      <c r="S104" s="388"/>
      <c r="T104" s="388">
        <v>0</v>
      </c>
      <c r="U104" s="388"/>
      <c r="V104" s="388"/>
      <c r="W104" s="169">
        <f>T104*40</f>
        <v>0</v>
      </c>
      <c r="X104" s="388"/>
      <c r="Y104" s="164"/>
      <c r="Z104" s="181"/>
      <c r="AA104" s="181"/>
      <c r="AB104" s="181"/>
      <c r="AC104" s="181"/>
    </row>
    <row r="105" spans="1:29" ht="43.5" customHeight="1" x14ac:dyDescent="0.25">
      <c r="A105" s="419"/>
      <c r="B105" s="412"/>
      <c r="C105" s="401" t="s">
        <v>98</v>
      </c>
      <c r="D105" s="401"/>
      <c r="E105" s="388">
        <v>0</v>
      </c>
      <c r="F105" s="388"/>
      <c r="G105" s="388"/>
      <c r="H105" s="169">
        <f>E105*50</f>
        <v>0</v>
      </c>
      <c r="I105" s="388"/>
      <c r="J105" s="388">
        <v>0</v>
      </c>
      <c r="K105" s="388"/>
      <c r="L105" s="388"/>
      <c r="M105" s="169">
        <f>J105*50</f>
        <v>0</v>
      </c>
      <c r="N105" s="388"/>
      <c r="O105" s="388">
        <v>0</v>
      </c>
      <c r="P105" s="388"/>
      <c r="Q105" s="388"/>
      <c r="R105" s="169">
        <f>O105*50</f>
        <v>0</v>
      </c>
      <c r="S105" s="388"/>
      <c r="T105" s="388">
        <v>0</v>
      </c>
      <c r="U105" s="388"/>
      <c r="V105" s="388"/>
      <c r="W105" s="169">
        <f>T105*50</f>
        <v>0</v>
      </c>
      <c r="X105" s="388"/>
      <c r="Y105" s="164"/>
      <c r="Z105" s="181"/>
      <c r="AA105" s="181"/>
      <c r="AB105" s="181"/>
      <c r="AC105" s="181"/>
    </row>
    <row r="106" spans="1:29" ht="23.25" customHeight="1" x14ac:dyDescent="0.25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75">
        <f>I101+N101+S101+X101</f>
        <v>50</v>
      </c>
      <c r="Y106" s="164"/>
      <c r="Z106" s="181"/>
      <c r="AA106" s="181"/>
      <c r="AB106" s="181"/>
      <c r="AC106" s="181"/>
    </row>
    <row r="107" spans="1:29" ht="21" customHeight="1" x14ac:dyDescent="0.25">
      <c r="A107" s="177"/>
      <c r="B107" s="177"/>
      <c r="C107" s="177"/>
      <c r="D107" s="177"/>
      <c r="E107" s="384" t="s">
        <v>31</v>
      </c>
      <c r="F107" s="384"/>
      <c r="G107" s="384"/>
      <c r="H107" s="384"/>
      <c r="I107" s="384"/>
      <c r="J107" s="384" t="s">
        <v>32</v>
      </c>
      <c r="K107" s="384"/>
      <c r="L107" s="384"/>
      <c r="M107" s="384"/>
      <c r="N107" s="384"/>
      <c r="O107" s="384" t="s">
        <v>33</v>
      </c>
      <c r="P107" s="384"/>
      <c r="Q107" s="384"/>
      <c r="R107" s="384"/>
      <c r="S107" s="384"/>
      <c r="T107" s="384" t="s">
        <v>34</v>
      </c>
      <c r="U107" s="384"/>
      <c r="V107" s="384"/>
      <c r="W107" s="384"/>
      <c r="X107" s="384"/>
      <c r="Y107" s="164"/>
      <c r="Z107" s="181"/>
      <c r="AA107" s="181"/>
      <c r="AB107" s="181"/>
      <c r="AC107" s="181"/>
    </row>
    <row r="108" spans="1:29" ht="21" customHeight="1" x14ac:dyDescent="0.25">
      <c r="A108" s="177"/>
      <c r="B108" s="177"/>
      <c r="C108" s="402"/>
      <c r="D108" s="402"/>
      <c r="E108" s="388" t="s">
        <v>70</v>
      </c>
      <c r="F108" s="388"/>
      <c r="G108" s="388"/>
      <c r="H108" s="169" t="s">
        <v>7</v>
      </c>
      <c r="I108" s="169" t="s">
        <v>12</v>
      </c>
      <c r="J108" s="388" t="s">
        <v>70</v>
      </c>
      <c r="K108" s="388"/>
      <c r="L108" s="388"/>
      <c r="M108" s="169" t="s">
        <v>7</v>
      </c>
      <c r="N108" s="169" t="s">
        <v>12</v>
      </c>
      <c r="O108" s="388" t="s">
        <v>70</v>
      </c>
      <c r="P108" s="388"/>
      <c r="Q108" s="388"/>
      <c r="R108" s="169" t="s">
        <v>7</v>
      </c>
      <c r="S108" s="169" t="s">
        <v>12</v>
      </c>
      <c r="T108" s="388" t="s">
        <v>70</v>
      </c>
      <c r="U108" s="388"/>
      <c r="V108" s="388"/>
      <c r="W108" s="169" t="s">
        <v>7</v>
      </c>
      <c r="X108" s="169" t="s">
        <v>12</v>
      </c>
      <c r="Y108" s="164"/>
      <c r="Z108" s="181"/>
      <c r="AA108" s="181"/>
      <c r="AB108" s="181"/>
      <c r="AC108" s="181"/>
    </row>
    <row r="109" spans="1:29" ht="21" customHeight="1" x14ac:dyDescent="0.25">
      <c r="A109" s="419" t="s">
        <v>79</v>
      </c>
      <c r="B109" s="410" t="s">
        <v>99</v>
      </c>
      <c r="C109" s="401" t="s">
        <v>94</v>
      </c>
      <c r="D109" s="401"/>
      <c r="E109" s="388">
        <v>1</v>
      </c>
      <c r="F109" s="388"/>
      <c r="G109" s="388"/>
      <c r="H109" s="169">
        <f>E109*10</f>
        <v>10</v>
      </c>
      <c r="I109" s="388">
        <f>H109+H110+H111+H112+H113</f>
        <v>10</v>
      </c>
      <c r="J109" s="388">
        <v>2</v>
      </c>
      <c r="K109" s="388"/>
      <c r="L109" s="388"/>
      <c r="M109" s="169">
        <f>J109*10</f>
        <v>20</v>
      </c>
      <c r="N109" s="388">
        <f>M109+M110+M113+M112+M111</f>
        <v>20</v>
      </c>
      <c r="O109" s="388">
        <v>0</v>
      </c>
      <c r="P109" s="388"/>
      <c r="Q109" s="388"/>
      <c r="R109" s="169">
        <f>O109*10</f>
        <v>0</v>
      </c>
      <c r="S109" s="388">
        <f>R113+R112+R111+R110+R109</f>
        <v>100</v>
      </c>
      <c r="T109" s="388">
        <v>1</v>
      </c>
      <c r="U109" s="388"/>
      <c r="V109" s="388"/>
      <c r="W109" s="169">
        <f>T109*10</f>
        <v>10</v>
      </c>
      <c r="X109" s="388">
        <f>W109+W110+W111+W112+W113</f>
        <v>10</v>
      </c>
      <c r="Y109" s="164"/>
      <c r="Z109" s="181"/>
      <c r="AA109" s="181"/>
      <c r="AB109" s="181"/>
      <c r="AC109" s="181"/>
    </row>
    <row r="110" spans="1:29" ht="21" customHeight="1" x14ac:dyDescent="0.25">
      <c r="A110" s="419"/>
      <c r="B110" s="411"/>
      <c r="C110" s="401" t="s">
        <v>95</v>
      </c>
      <c r="D110" s="401"/>
      <c r="E110" s="388">
        <v>0</v>
      </c>
      <c r="F110" s="388"/>
      <c r="G110" s="388"/>
      <c r="H110" s="169">
        <f>E110*20</f>
        <v>0</v>
      </c>
      <c r="I110" s="388"/>
      <c r="J110" s="388">
        <v>0</v>
      </c>
      <c r="K110" s="388"/>
      <c r="L110" s="388"/>
      <c r="M110" s="169">
        <f>J110*20</f>
        <v>0</v>
      </c>
      <c r="N110" s="388"/>
      <c r="O110" s="388">
        <v>0</v>
      </c>
      <c r="P110" s="388"/>
      <c r="Q110" s="388"/>
      <c r="R110" s="169">
        <f>O110*20</f>
        <v>0</v>
      </c>
      <c r="S110" s="388"/>
      <c r="T110" s="388">
        <v>0</v>
      </c>
      <c r="U110" s="388"/>
      <c r="V110" s="388"/>
      <c r="W110" s="169">
        <f>T110*20</f>
        <v>0</v>
      </c>
      <c r="X110" s="388"/>
      <c r="Y110" s="164"/>
      <c r="Z110" s="181"/>
      <c r="AA110" s="181"/>
      <c r="AB110" s="181"/>
      <c r="AC110" s="181"/>
    </row>
    <row r="111" spans="1:29" ht="21" customHeight="1" x14ac:dyDescent="0.25">
      <c r="A111" s="419"/>
      <c r="B111" s="411"/>
      <c r="C111" s="401" t="s">
        <v>96</v>
      </c>
      <c r="D111" s="401"/>
      <c r="E111" s="388">
        <v>0</v>
      </c>
      <c r="F111" s="388"/>
      <c r="G111" s="388"/>
      <c r="H111" s="169">
        <f>E111*30</f>
        <v>0</v>
      </c>
      <c r="I111" s="388"/>
      <c r="J111" s="388">
        <v>0</v>
      </c>
      <c r="K111" s="388"/>
      <c r="L111" s="388"/>
      <c r="M111" s="169">
        <f>J111*30</f>
        <v>0</v>
      </c>
      <c r="N111" s="388"/>
      <c r="O111" s="388">
        <v>0</v>
      </c>
      <c r="P111" s="388"/>
      <c r="Q111" s="388"/>
      <c r="R111" s="169">
        <f>O111*30</f>
        <v>0</v>
      </c>
      <c r="S111" s="388"/>
      <c r="T111" s="388">
        <v>0</v>
      </c>
      <c r="U111" s="388"/>
      <c r="V111" s="388"/>
      <c r="W111" s="169">
        <f>T111*30</f>
        <v>0</v>
      </c>
      <c r="X111" s="388"/>
      <c r="Y111" s="164"/>
      <c r="Z111" s="181"/>
      <c r="AA111" s="181"/>
      <c r="AB111" s="181"/>
      <c r="AC111" s="181"/>
    </row>
    <row r="112" spans="1:29" ht="23.25" customHeight="1" x14ac:dyDescent="0.25">
      <c r="A112" s="419"/>
      <c r="B112" s="411"/>
      <c r="C112" s="401" t="s">
        <v>97</v>
      </c>
      <c r="D112" s="401"/>
      <c r="E112" s="388">
        <v>0</v>
      </c>
      <c r="F112" s="388"/>
      <c r="G112" s="388"/>
      <c r="H112" s="169">
        <f>E112*40</f>
        <v>0</v>
      </c>
      <c r="I112" s="388"/>
      <c r="J112" s="388">
        <v>0</v>
      </c>
      <c r="K112" s="388"/>
      <c r="L112" s="388"/>
      <c r="M112" s="169">
        <f>J112*40</f>
        <v>0</v>
      </c>
      <c r="N112" s="388"/>
      <c r="O112" s="388">
        <v>0</v>
      </c>
      <c r="P112" s="388"/>
      <c r="Q112" s="388"/>
      <c r="R112" s="169">
        <f>O112*40</f>
        <v>0</v>
      </c>
      <c r="S112" s="388"/>
      <c r="T112" s="388">
        <v>0</v>
      </c>
      <c r="U112" s="388"/>
      <c r="V112" s="388"/>
      <c r="W112" s="169">
        <f>T112*40</f>
        <v>0</v>
      </c>
      <c r="X112" s="388"/>
      <c r="Y112" s="164"/>
      <c r="Z112" s="181"/>
      <c r="AA112" s="181"/>
      <c r="AB112" s="181"/>
      <c r="AC112" s="181"/>
    </row>
    <row r="113" spans="1:29" ht="96" customHeight="1" x14ac:dyDescent="0.25">
      <c r="A113" s="419"/>
      <c r="B113" s="412"/>
      <c r="C113" s="401" t="s">
        <v>98</v>
      </c>
      <c r="D113" s="401"/>
      <c r="E113" s="388">
        <v>0</v>
      </c>
      <c r="F113" s="388"/>
      <c r="G113" s="388"/>
      <c r="H113" s="169">
        <f>E113*50</f>
        <v>0</v>
      </c>
      <c r="I113" s="388"/>
      <c r="J113" s="388">
        <v>0</v>
      </c>
      <c r="K113" s="388"/>
      <c r="L113" s="388"/>
      <c r="M113" s="169">
        <f>J113*50</f>
        <v>0</v>
      </c>
      <c r="N113" s="388"/>
      <c r="O113" s="388">
        <v>2</v>
      </c>
      <c r="P113" s="388"/>
      <c r="Q113" s="388"/>
      <c r="R113" s="169">
        <f>O113*50</f>
        <v>100</v>
      </c>
      <c r="S113" s="388"/>
      <c r="T113" s="388">
        <v>0</v>
      </c>
      <c r="U113" s="388"/>
      <c r="V113" s="388"/>
      <c r="W113" s="169">
        <f>T113*50</f>
        <v>0</v>
      </c>
      <c r="X113" s="388"/>
      <c r="Y113" s="164"/>
      <c r="Z113" s="181"/>
      <c r="AA113" s="181"/>
      <c r="AB113" s="181"/>
      <c r="AC113" s="181"/>
    </row>
    <row r="114" spans="1:29" ht="21" customHeight="1" x14ac:dyDescent="0.25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75">
        <f>I109+N109+S109+X109</f>
        <v>140</v>
      </c>
      <c r="Y114" s="164"/>
      <c r="Z114" s="181"/>
      <c r="AA114" s="181"/>
      <c r="AB114" s="181"/>
      <c r="AC114" s="181"/>
    </row>
    <row r="115" spans="1:29" ht="15.75" customHeight="1" x14ac:dyDescent="0.25">
      <c r="A115" s="177"/>
      <c r="B115" s="177"/>
      <c r="C115" s="177"/>
      <c r="D115" s="177"/>
      <c r="E115" s="384" t="s">
        <v>31</v>
      </c>
      <c r="F115" s="384"/>
      <c r="G115" s="384"/>
      <c r="H115" s="384"/>
      <c r="I115" s="384"/>
      <c r="J115" s="384" t="s">
        <v>32</v>
      </c>
      <c r="K115" s="384"/>
      <c r="L115" s="384"/>
      <c r="M115" s="384"/>
      <c r="N115" s="384"/>
      <c r="O115" s="384" t="s">
        <v>33</v>
      </c>
      <c r="P115" s="384"/>
      <c r="Q115" s="384"/>
      <c r="R115" s="384"/>
      <c r="S115" s="384"/>
      <c r="T115" s="384" t="s">
        <v>34</v>
      </c>
      <c r="U115" s="384"/>
      <c r="V115" s="384"/>
      <c r="W115" s="384"/>
      <c r="X115" s="384"/>
      <c r="Y115" s="181"/>
      <c r="Z115" s="181"/>
      <c r="AA115" s="181"/>
      <c r="AB115" s="181"/>
      <c r="AC115" s="181"/>
    </row>
    <row r="116" spans="1:29" ht="15.75" customHeight="1" x14ac:dyDescent="0.25">
      <c r="A116" s="177"/>
      <c r="B116" s="177"/>
      <c r="C116" s="402"/>
      <c r="D116" s="402"/>
      <c r="E116" s="388" t="s">
        <v>70</v>
      </c>
      <c r="F116" s="388"/>
      <c r="G116" s="388"/>
      <c r="H116" s="169" t="s">
        <v>7</v>
      </c>
      <c r="I116" s="169" t="s">
        <v>12</v>
      </c>
      <c r="J116" s="388" t="s">
        <v>70</v>
      </c>
      <c r="K116" s="388"/>
      <c r="L116" s="388"/>
      <c r="M116" s="169" t="s">
        <v>7</v>
      </c>
      <c r="N116" s="169" t="s">
        <v>12</v>
      </c>
      <c r="O116" s="388" t="s">
        <v>70</v>
      </c>
      <c r="P116" s="388"/>
      <c r="Q116" s="388"/>
      <c r="R116" s="169" t="s">
        <v>7</v>
      </c>
      <c r="S116" s="169" t="s">
        <v>12</v>
      </c>
      <c r="T116" s="388" t="s">
        <v>70</v>
      </c>
      <c r="U116" s="388"/>
      <c r="V116" s="388"/>
      <c r="W116" s="169" t="s">
        <v>7</v>
      </c>
      <c r="X116" s="169" t="s">
        <v>12</v>
      </c>
      <c r="Y116" s="181"/>
      <c r="Z116" s="181"/>
      <c r="AA116" s="181"/>
      <c r="AB116" s="181"/>
      <c r="AC116" s="181"/>
    </row>
    <row r="117" spans="1:29" ht="21.75" customHeight="1" x14ac:dyDescent="0.25">
      <c r="A117" s="419" t="s">
        <v>81</v>
      </c>
      <c r="B117" s="410" t="s">
        <v>100</v>
      </c>
      <c r="C117" s="401" t="s">
        <v>94</v>
      </c>
      <c r="D117" s="401"/>
      <c r="E117" s="388">
        <v>1</v>
      </c>
      <c r="F117" s="388"/>
      <c r="G117" s="388"/>
      <c r="H117" s="169">
        <f>E117*10</f>
        <v>10</v>
      </c>
      <c r="I117" s="388">
        <f>H117+H118+H119+H120+H121</f>
        <v>10</v>
      </c>
      <c r="J117" s="388">
        <v>0</v>
      </c>
      <c r="K117" s="388"/>
      <c r="L117" s="388"/>
      <c r="M117" s="169">
        <f>J117*10</f>
        <v>0</v>
      </c>
      <c r="N117" s="388">
        <f>M117+M118+M121+M120+M119</f>
        <v>0</v>
      </c>
      <c r="O117" s="388">
        <v>1</v>
      </c>
      <c r="P117" s="388"/>
      <c r="Q117" s="388"/>
      <c r="R117" s="169">
        <f>O117*10</f>
        <v>10</v>
      </c>
      <c r="S117" s="388">
        <f>R121+R120+R119+R118+R117</f>
        <v>10</v>
      </c>
      <c r="T117" s="388">
        <v>0</v>
      </c>
      <c r="U117" s="388"/>
      <c r="V117" s="388"/>
      <c r="W117" s="169">
        <f>T117*10</f>
        <v>0</v>
      </c>
      <c r="X117" s="388">
        <f>W117+W118+W119+W120+W121</f>
        <v>0</v>
      </c>
      <c r="Y117" s="181"/>
      <c r="Z117" s="181"/>
      <c r="AA117" s="181"/>
      <c r="AB117" s="181"/>
      <c r="AC117" s="181"/>
    </row>
    <row r="118" spans="1:29" x14ac:dyDescent="0.25">
      <c r="A118" s="419"/>
      <c r="B118" s="411"/>
      <c r="C118" s="401" t="s">
        <v>95</v>
      </c>
      <c r="D118" s="401"/>
      <c r="E118" s="388">
        <v>0</v>
      </c>
      <c r="F118" s="388"/>
      <c r="G118" s="388"/>
      <c r="H118" s="169">
        <f>E118*20</f>
        <v>0</v>
      </c>
      <c r="I118" s="388"/>
      <c r="J118" s="388">
        <v>0</v>
      </c>
      <c r="K118" s="388"/>
      <c r="L118" s="388"/>
      <c r="M118" s="169">
        <f>J118*20</f>
        <v>0</v>
      </c>
      <c r="N118" s="388"/>
      <c r="O118" s="388">
        <v>0</v>
      </c>
      <c r="P118" s="388"/>
      <c r="Q118" s="388"/>
      <c r="R118" s="169">
        <f>O118*20</f>
        <v>0</v>
      </c>
      <c r="S118" s="388"/>
      <c r="T118" s="388">
        <v>0</v>
      </c>
      <c r="U118" s="388"/>
      <c r="V118" s="388"/>
      <c r="W118" s="169">
        <f>T118*20</f>
        <v>0</v>
      </c>
      <c r="X118" s="388"/>
      <c r="Y118" s="181"/>
      <c r="Z118" s="181"/>
      <c r="AA118" s="181"/>
      <c r="AB118" s="181"/>
      <c r="AC118" s="181"/>
    </row>
    <row r="119" spans="1:29" x14ac:dyDescent="0.25">
      <c r="A119" s="419"/>
      <c r="B119" s="411"/>
      <c r="C119" s="401" t="s">
        <v>96</v>
      </c>
      <c r="D119" s="401"/>
      <c r="E119" s="388">
        <v>0</v>
      </c>
      <c r="F119" s="388"/>
      <c r="G119" s="388"/>
      <c r="H119" s="169">
        <f>E119*30</f>
        <v>0</v>
      </c>
      <c r="I119" s="388"/>
      <c r="J119" s="388">
        <v>0</v>
      </c>
      <c r="K119" s="388"/>
      <c r="L119" s="388"/>
      <c r="M119" s="169">
        <f>J119*30</f>
        <v>0</v>
      </c>
      <c r="N119" s="388"/>
      <c r="O119" s="388">
        <v>0</v>
      </c>
      <c r="P119" s="388"/>
      <c r="Q119" s="388"/>
      <c r="R119" s="169">
        <f>O119*30</f>
        <v>0</v>
      </c>
      <c r="S119" s="388"/>
      <c r="T119" s="388">
        <v>0</v>
      </c>
      <c r="U119" s="388"/>
      <c r="V119" s="388"/>
      <c r="W119" s="169">
        <f>T119*30</f>
        <v>0</v>
      </c>
      <c r="X119" s="388"/>
      <c r="Y119" s="181"/>
      <c r="Z119" s="181"/>
      <c r="AA119" s="181"/>
      <c r="AB119" s="181"/>
      <c r="AC119" s="181"/>
    </row>
    <row r="120" spans="1:29" x14ac:dyDescent="0.25">
      <c r="A120" s="419"/>
      <c r="B120" s="411"/>
      <c r="C120" s="401" t="s">
        <v>97</v>
      </c>
      <c r="D120" s="401"/>
      <c r="E120" s="388">
        <v>0</v>
      </c>
      <c r="F120" s="388"/>
      <c r="G120" s="388"/>
      <c r="H120" s="169">
        <f>E120*40</f>
        <v>0</v>
      </c>
      <c r="I120" s="388"/>
      <c r="J120" s="388">
        <v>0</v>
      </c>
      <c r="K120" s="388"/>
      <c r="L120" s="388"/>
      <c r="M120" s="169">
        <f>J120*40</f>
        <v>0</v>
      </c>
      <c r="N120" s="388"/>
      <c r="O120" s="388">
        <v>0</v>
      </c>
      <c r="P120" s="388"/>
      <c r="Q120" s="388"/>
      <c r="R120" s="169">
        <f>O120*40</f>
        <v>0</v>
      </c>
      <c r="S120" s="388"/>
      <c r="T120" s="388">
        <v>0</v>
      </c>
      <c r="U120" s="388"/>
      <c r="V120" s="388"/>
      <c r="W120" s="169">
        <f>T120*40</f>
        <v>0</v>
      </c>
      <c r="X120" s="388"/>
      <c r="Y120" s="181"/>
      <c r="Z120" s="181"/>
      <c r="AA120" s="181"/>
      <c r="AB120" s="181"/>
      <c r="AC120" s="181"/>
    </row>
    <row r="121" spans="1:29" x14ac:dyDescent="0.25">
      <c r="A121" s="419"/>
      <c r="B121" s="412"/>
      <c r="C121" s="401" t="s">
        <v>98</v>
      </c>
      <c r="D121" s="401"/>
      <c r="E121" s="388">
        <v>0</v>
      </c>
      <c r="F121" s="388"/>
      <c r="G121" s="388"/>
      <c r="H121" s="169">
        <f>E121*50</f>
        <v>0</v>
      </c>
      <c r="I121" s="388"/>
      <c r="J121" s="388">
        <v>0</v>
      </c>
      <c r="K121" s="388"/>
      <c r="L121" s="388"/>
      <c r="M121" s="169">
        <f>J121*50</f>
        <v>0</v>
      </c>
      <c r="N121" s="388"/>
      <c r="O121" s="388">
        <v>0</v>
      </c>
      <c r="P121" s="388"/>
      <c r="Q121" s="388"/>
      <c r="R121" s="169">
        <f>O121*50</f>
        <v>0</v>
      </c>
      <c r="S121" s="388"/>
      <c r="T121" s="388">
        <v>0</v>
      </c>
      <c r="U121" s="388"/>
      <c r="V121" s="388"/>
      <c r="W121" s="169">
        <f>T121*50</f>
        <v>0</v>
      </c>
      <c r="X121" s="388"/>
      <c r="Y121" s="181"/>
      <c r="Z121" s="181"/>
      <c r="AA121" s="181"/>
      <c r="AB121" s="181"/>
      <c r="AC121" s="181"/>
    </row>
    <row r="122" spans="1:29" x14ac:dyDescent="0.25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76">
        <f>I117+N117+S117+X117</f>
        <v>20</v>
      </c>
      <c r="Y122" s="181"/>
      <c r="Z122" s="181"/>
      <c r="AA122" s="181"/>
      <c r="AB122" s="181"/>
      <c r="AC122" s="181"/>
    </row>
    <row r="123" spans="1:29" x14ac:dyDescent="0.25">
      <c r="A123" s="177"/>
      <c r="B123" s="177"/>
      <c r="C123" s="177"/>
      <c r="D123" s="177"/>
      <c r="E123" s="384" t="s">
        <v>31</v>
      </c>
      <c r="F123" s="384"/>
      <c r="G123" s="384"/>
      <c r="H123" s="384"/>
      <c r="I123" s="384"/>
      <c r="J123" s="384" t="s">
        <v>32</v>
      </c>
      <c r="K123" s="384"/>
      <c r="L123" s="384"/>
      <c r="M123" s="384"/>
      <c r="N123" s="384"/>
      <c r="O123" s="384" t="s">
        <v>33</v>
      </c>
      <c r="P123" s="384"/>
      <c r="Q123" s="384"/>
      <c r="R123" s="384"/>
      <c r="S123" s="384"/>
      <c r="T123" s="384" t="s">
        <v>34</v>
      </c>
      <c r="U123" s="384"/>
      <c r="V123" s="384"/>
      <c r="W123" s="384"/>
      <c r="X123" s="384"/>
      <c r="Y123" s="181"/>
      <c r="Z123" s="181"/>
      <c r="AA123" s="181"/>
      <c r="AB123" s="181"/>
      <c r="AC123" s="181"/>
    </row>
    <row r="124" spans="1:29" x14ac:dyDescent="0.25">
      <c r="A124" s="177"/>
      <c r="B124" s="177"/>
      <c r="C124" s="402"/>
      <c r="D124" s="402"/>
      <c r="E124" s="388" t="s">
        <v>70</v>
      </c>
      <c r="F124" s="388"/>
      <c r="G124" s="388"/>
      <c r="H124" s="169" t="s">
        <v>7</v>
      </c>
      <c r="I124" s="169" t="s">
        <v>12</v>
      </c>
      <c r="J124" s="388" t="s">
        <v>70</v>
      </c>
      <c r="K124" s="388"/>
      <c r="L124" s="388"/>
      <c r="M124" s="169" t="s">
        <v>7</v>
      </c>
      <c r="N124" s="169" t="s">
        <v>12</v>
      </c>
      <c r="O124" s="388" t="s">
        <v>70</v>
      </c>
      <c r="P124" s="388"/>
      <c r="Q124" s="388"/>
      <c r="R124" s="169" t="s">
        <v>7</v>
      </c>
      <c r="S124" s="169" t="s">
        <v>12</v>
      </c>
      <c r="T124" s="388" t="s">
        <v>70</v>
      </c>
      <c r="U124" s="388"/>
      <c r="V124" s="388"/>
      <c r="W124" s="169" t="s">
        <v>7</v>
      </c>
      <c r="X124" s="169" t="s">
        <v>12</v>
      </c>
      <c r="Y124" s="181"/>
      <c r="Z124" s="181"/>
      <c r="AA124" s="181"/>
      <c r="AB124" s="181"/>
      <c r="AC124" s="181"/>
    </row>
    <row r="125" spans="1:29" x14ac:dyDescent="0.25">
      <c r="A125" s="419" t="s">
        <v>83</v>
      </c>
      <c r="B125" s="410" t="s">
        <v>101</v>
      </c>
      <c r="C125" s="401" t="s">
        <v>94</v>
      </c>
      <c r="D125" s="401"/>
      <c r="E125" s="388">
        <v>1</v>
      </c>
      <c r="F125" s="388"/>
      <c r="G125" s="388"/>
      <c r="H125" s="169">
        <f>E125*10</f>
        <v>10</v>
      </c>
      <c r="I125" s="388">
        <f>H125+H126+H127+H128+H129</f>
        <v>50</v>
      </c>
      <c r="J125" s="388">
        <v>0</v>
      </c>
      <c r="K125" s="388"/>
      <c r="L125" s="388"/>
      <c r="M125" s="169">
        <f>J125*10</f>
        <v>0</v>
      </c>
      <c r="N125" s="388">
        <f>M125+M126+M129+M128+M127</f>
        <v>0</v>
      </c>
      <c r="O125" s="388">
        <v>0</v>
      </c>
      <c r="P125" s="388"/>
      <c r="Q125" s="388"/>
      <c r="R125" s="169">
        <f>O125*10</f>
        <v>0</v>
      </c>
      <c r="S125" s="388">
        <f>R129+R128+R127+R126+R125</f>
        <v>30</v>
      </c>
      <c r="T125" s="388">
        <v>0</v>
      </c>
      <c r="U125" s="388"/>
      <c r="V125" s="388"/>
      <c r="W125" s="169">
        <f>T125*10</f>
        <v>0</v>
      </c>
      <c r="X125" s="388">
        <f>W125+W126+W127+W128+W129</f>
        <v>0</v>
      </c>
      <c r="Y125" s="181"/>
      <c r="Z125" s="181"/>
      <c r="AA125" s="181"/>
      <c r="AB125" s="181"/>
      <c r="AC125" s="181"/>
    </row>
    <row r="126" spans="1:29" x14ac:dyDescent="0.25">
      <c r="A126" s="419"/>
      <c r="B126" s="411"/>
      <c r="C126" s="401" t="s">
        <v>95</v>
      </c>
      <c r="D126" s="401"/>
      <c r="E126" s="388">
        <v>0</v>
      </c>
      <c r="F126" s="388"/>
      <c r="G126" s="388"/>
      <c r="H126" s="169">
        <f>E126*20</f>
        <v>0</v>
      </c>
      <c r="I126" s="388"/>
      <c r="J126" s="388">
        <v>0</v>
      </c>
      <c r="K126" s="388"/>
      <c r="L126" s="388"/>
      <c r="M126" s="169">
        <f>J126*20</f>
        <v>0</v>
      </c>
      <c r="N126" s="388"/>
      <c r="O126" s="388">
        <v>0</v>
      </c>
      <c r="P126" s="388"/>
      <c r="Q126" s="388"/>
      <c r="R126" s="169">
        <f>O126*20</f>
        <v>0</v>
      </c>
      <c r="S126" s="388"/>
      <c r="T126" s="388">
        <v>0</v>
      </c>
      <c r="U126" s="388"/>
      <c r="V126" s="388"/>
      <c r="W126" s="169">
        <f>T126*20</f>
        <v>0</v>
      </c>
      <c r="X126" s="388"/>
      <c r="Y126" s="181"/>
      <c r="Z126" s="181"/>
      <c r="AA126" s="181"/>
      <c r="AB126" s="181"/>
      <c r="AC126" s="181"/>
    </row>
    <row r="127" spans="1:29" x14ac:dyDescent="0.25">
      <c r="A127" s="419"/>
      <c r="B127" s="411"/>
      <c r="C127" s="401" t="s">
        <v>96</v>
      </c>
      <c r="D127" s="401"/>
      <c r="E127" s="388">
        <v>0</v>
      </c>
      <c r="F127" s="388"/>
      <c r="G127" s="388"/>
      <c r="H127" s="169">
        <f>E127*30</f>
        <v>0</v>
      </c>
      <c r="I127" s="388"/>
      <c r="J127" s="388">
        <v>0</v>
      </c>
      <c r="K127" s="388"/>
      <c r="L127" s="388"/>
      <c r="M127" s="169">
        <f>J127*30</f>
        <v>0</v>
      </c>
      <c r="N127" s="388"/>
      <c r="O127" s="388">
        <v>1</v>
      </c>
      <c r="P127" s="388"/>
      <c r="Q127" s="388"/>
      <c r="R127" s="169">
        <f>O127*30</f>
        <v>30</v>
      </c>
      <c r="S127" s="388"/>
      <c r="T127" s="388">
        <v>0</v>
      </c>
      <c r="U127" s="388"/>
      <c r="V127" s="388"/>
      <c r="W127" s="169">
        <f>T127*30</f>
        <v>0</v>
      </c>
      <c r="X127" s="388"/>
      <c r="Y127" s="181"/>
      <c r="Z127" s="181"/>
      <c r="AA127" s="181"/>
      <c r="AB127" s="181"/>
      <c r="AC127" s="181"/>
    </row>
    <row r="128" spans="1:29" x14ac:dyDescent="0.25">
      <c r="A128" s="419"/>
      <c r="B128" s="411"/>
      <c r="C128" s="401" t="s">
        <v>97</v>
      </c>
      <c r="D128" s="401"/>
      <c r="E128" s="388">
        <v>1</v>
      </c>
      <c r="F128" s="388"/>
      <c r="G128" s="388"/>
      <c r="H128" s="169">
        <f>E128*40</f>
        <v>40</v>
      </c>
      <c r="I128" s="388"/>
      <c r="J128" s="388">
        <v>0</v>
      </c>
      <c r="K128" s="388"/>
      <c r="L128" s="388"/>
      <c r="M128" s="169">
        <f>J128*40</f>
        <v>0</v>
      </c>
      <c r="N128" s="388"/>
      <c r="O128" s="388">
        <v>0</v>
      </c>
      <c r="P128" s="388"/>
      <c r="Q128" s="388"/>
      <c r="R128" s="169">
        <f>O128*40</f>
        <v>0</v>
      </c>
      <c r="S128" s="388"/>
      <c r="T128" s="388">
        <v>0</v>
      </c>
      <c r="U128" s="388"/>
      <c r="V128" s="388"/>
      <c r="W128" s="169">
        <f>T128*40</f>
        <v>0</v>
      </c>
      <c r="X128" s="388"/>
      <c r="Y128" s="181"/>
      <c r="Z128" s="181"/>
      <c r="AA128" s="181"/>
      <c r="AB128" s="181"/>
      <c r="AC128" s="181"/>
    </row>
    <row r="129" spans="1:29" x14ac:dyDescent="0.25">
      <c r="A129" s="419"/>
      <c r="B129" s="412"/>
      <c r="C129" s="401" t="s">
        <v>98</v>
      </c>
      <c r="D129" s="401"/>
      <c r="E129" s="388">
        <v>0</v>
      </c>
      <c r="F129" s="388"/>
      <c r="G129" s="388"/>
      <c r="H129" s="169">
        <f>E129*50</f>
        <v>0</v>
      </c>
      <c r="I129" s="388"/>
      <c r="J129" s="388">
        <v>0</v>
      </c>
      <c r="K129" s="388"/>
      <c r="L129" s="388"/>
      <c r="M129" s="169">
        <f>J129*50</f>
        <v>0</v>
      </c>
      <c r="N129" s="388"/>
      <c r="O129" s="388">
        <v>0</v>
      </c>
      <c r="P129" s="388"/>
      <c r="Q129" s="388"/>
      <c r="R129" s="169">
        <v>0</v>
      </c>
      <c r="S129" s="388"/>
      <c r="T129" s="388">
        <v>0</v>
      </c>
      <c r="U129" s="388"/>
      <c r="V129" s="388"/>
      <c r="W129" s="169">
        <f>T129*50</f>
        <v>0</v>
      </c>
      <c r="X129" s="388"/>
      <c r="Y129" s="181"/>
      <c r="Z129" s="181"/>
      <c r="AA129" s="181"/>
      <c r="AB129" s="181"/>
      <c r="AC129" s="181"/>
    </row>
    <row r="130" spans="1:29" x14ac:dyDescent="0.25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76">
        <f>I125+N125+S125+X125</f>
        <v>80</v>
      </c>
      <c r="Y130" s="181"/>
      <c r="Z130" s="181"/>
      <c r="AA130" s="181"/>
      <c r="AB130" s="181"/>
      <c r="AC130" s="181"/>
    </row>
    <row r="131" spans="1:29" x14ac:dyDescent="0.25">
      <c r="A131" s="177"/>
      <c r="B131" s="177"/>
      <c r="C131" s="177"/>
      <c r="D131" s="177"/>
      <c r="E131" s="384" t="s">
        <v>31</v>
      </c>
      <c r="F131" s="384"/>
      <c r="G131" s="384"/>
      <c r="H131" s="384"/>
      <c r="I131" s="384"/>
      <c r="J131" s="384" t="s">
        <v>32</v>
      </c>
      <c r="K131" s="384"/>
      <c r="L131" s="384"/>
      <c r="M131" s="384"/>
      <c r="N131" s="384"/>
      <c r="O131" s="384" t="s">
        <v>33</v>
      </c>
      <c r="P131" s="384"/>
      <c r="Q131" s="384"/>
      <c r="R131" s="384"/>
      <c r="S131" s="384"/>
      <c r="T131" s="384" t="s">
        <v>34</v>
      </c>
      <c r="U131" s="384"/>
      <c r="V131" s="384"/>
      <c r="W131" s="384"/>
      <c r="X131" s="384"/>
      <c r="Y131" s="181"/>
      <c r="Z131" s="181"/>
      <c r="AA131" s="181"/>
      <c r="AB131" s="181"/>
      <c r="AC131" s="181"/>
    </row>
    <row r="132" spans="1:29" x14ac:dyDescent="0.25">
      <c r="A132" s="177"/>
      <c r="B132" s="177"/>
      <c r="C132" s="402"/>
      <c r="D132" s="402"/>
      <c r="E132" s="388" t="s">
        <v>70</v>
      </c>
      <c r="F132" s="388"/>
      <c r="G132" s="388"/>
      <c r="H132" s="169" t="s">
        <v>7</v>
      </c>
      <c r="I132" s="169" t="s">
        <v>12</v>
      </c>
      <c r="J132" s="388" t="s">
        <v>70</v>
      </c>
      <c r="K132" s="388"/>
      <c r="L132" s="388"/>
      <c r="M132" s="169" t="s">
        <v>7</v>
      </c>
      <c r="N132" s="169" t="s">
        <v>12</v>
      </c>
      <c r="O132" s="388" t="s">
        <v>70</v>
      </c>
      <c r="P132" s="388"/>
      <c r="Q132" s="388"/>
      <c r="R132" s="169" t="s">
        <v>7</v>
      </c>
      <c r="S132" s="169" t="s">
        <v>12</v>
      </c>
      <c r="T132" s="388" t="s">
        <v>70</v>
      </c>
      <c r="U132" s="388"/>
      <c r="V132" s="388"/>
      <c r="W132" s="169" t="s">
        <v>7</v>
      </c>
      <c r="X132" s="169" t="s">
        <v>12</v>
      </c>
      <c r="Y132" s="181"/>
      <c r="Z132" s="181"/>
      <c r="AA132" s="181"/>
      <c r="AB132" s="181"/>
      <c r="AC132" s="181"/>
    </row>
    <row r="133" spans="1:29" x14ac:dyDescent="0.25">
      <c r="A133" s="419" t="s">
        <v>87</v>
      </c>
      <c r="B133" s="410" t="s">
        <v>102</v>
      </c>
      <c r="C133" s="401" t="s">
        <v>94</v>
      </c>
      <c r="D133" s="401"/>
      <c r="E133" s="388">
        <v>1</v>
      </c>
      <c r="F133" s="388"/>
      <c r="G133" s="388"/>
      <c r="H133" s="169">
        <f>E133*10</f>
        <v>10</v>
      </c>
      <c r="I133" s="388">
        <f>H133+H134+H135+H136+H137</f>
        <v>10</v>
      </c>
      <c r="J133" s="388">
        <v>0</v>
      </c>
      <c r="K133" s="388"/>
      <c r="L133" s="388"/>
      <c r="M133" s="169">
        <f>J133*10</f>
        <v>0</v>
      </c>
      <c r="N133" s="388">
        <f>M133+M134+M137+M136+M135</f>
        <v>30</v>
      </c>
      <c r="O133" s="388">
        <v>0</v>
      </c>
      <c r="P133" s="388"/>
      <c r="Q133" s="388"/>
      <c r="R133" s="169">
        <f>O133*10</f>
        <v>0</v>
      </c>
      <c r="S133" s="388">
        <f>R137+R136+R135+R134+R133</f>
        <v>0</v>
      </c>
      <c r="T133" s="388">
        <v>0</v>
      </c>
      <c r="U133" s="388"/>
      <c r="V133" s="388"/>
      <c r="W133" s="169">
        <f>T133*10</f>
        <v>0</v>
      </c>
      <c r="X133" s="388">
        <f>W133+W134+W135+W136+W137</f>
        <v>0</v>
      </c>
      <c r="Y133" s="181"/>
      <c r="Z133" s="181"/>
      <c r="AA133" s="181"/>
      <c r="AB133" s="181"/>
      <c r="AC133" s="181"/>
    </row>
    <row r="134" spans="1:29" x14ac:dyDescent="0.25">
      <c r="A134" s="419"/>
      <c r="B134" s="411"/>
      <c r="C134" s="401" t="s">
        <v>95</v>
      </c>
      <c r="D134" s="401"/>
      <c r="E134" s="388">
        <v>0</v>
      </c>
      <c r="F134" s="388"/>
      <c r="G134" s="388"/>
      <c r="H134" s="169">
        <f>E134*20</f>
        <v>0</v>
      </c>
      <c r="I134" s="388"/>
      <c r="J134" s="388">
        <v>0</v>
      </c>
      <c r="K134" s="388"/>
      <c r="L134" s="388"/>
      <c r="M134" s="169">
        <f>J134*20</f>
        <v>0</v>
      </c>
      <c r="N134" s="388"/>
      <c r="O134" s="388">
        <v>0</v>
      </c>
      <c r="P134" s="388"/>
      <c r="Q134" s="388"/>
      <c r="R134" s="169">
        <f>O134*20</f>
        <v>0</v>
      </c>
      <c r="S134" s="388"/>
      <c r="T134" s="388">
        <v>0</v>
      </c>
      <c r="U134" s="388"/>
      <c r="V134" s="388"/>
      <c r="W134" s="169">
        <f>T134*20</f>
        <v>0</v>
      </c>
      <c r="X134" s="388"/>
      <c r="Y134" s="181"/>
      <c r="Z134" s="181"/>
      <c r="AA134" s="181"/>
      <c r="AB134" s="181"/>
      <c r="AC134" s="181"/>
    </row>
    <row r="135" spans="1:29" x14ac:dyDescent="0.25">
      <c r="A135" s="419"/>
      <c r="B135" s="411"/>
      <c r="C135" s="401" t="s">
        <v>96</v>
      </c>
      <c r="D135" s="401"/>
      <c r="E135" s="388">
        <v>0</v>
      </c>
      <c r="F135" s="388"/>
      <c r="G135" s="388"/>
      <c r="H135" s="169">
        <f>E135*30</f>
        <v>0</v>
      </c>
      <c r="I135" s="388"/>
      <c r="J135" s="388">
        <v>1</v>
      </c>
      <c r="K135" s="388"/>
      <c r="L135" s="388"/>
      <c r="M135" s="169">
        <f>J135*30</f>
        <v>30</v>
      </c>
      <c r="N135" s="388"/>
      <c r="O135" s="388">
        <v>0</v>
      </c>
      <c r="P135" s="388"/>
      <c r="Q135" s="388"/>
      <c r="R135" s="169">
        <f>O135*30</f>
        <v>0</v>
      </c>
      <c r="S135" s="388"/>
      <c r="T135" s="388">
        <v>0</v>
      </c>
      <c r="U135" s="388"/>
      <c r="V135" s="388"/>
      <c r="W135" s="169">
        <f>T135*30</f>
        <v>0</v>
      </c>
      <c r="X135" s="388"/>
      <c r="Y135" s="181"/>
      <c r="Z135" s="181"/>
      <c r="AA135" s="181"/>
      <c r="AB135" s="181"/>
      <c r="AC135" s="181"/>
    </row>
    <row r="136" spans="1:29" x14ac:dyDescent="0.25">
      <c r="A136" s="419"/>
      <c r="B136" s="411"/>
      <c r="C136" s="401" t="s">
        <v>97</v>
      </c>
      <c r="D136" s="401"/>
      <c r="E136" s="388">
        <v>0</v>
      </c>
      <c r="F136" s="388"/>
      <c r="G136" s="388"/>
      <c r="H136" s="169">
        <f>E136*40</f>
        <v>0</v>
      </c>
      <c r="I136" s="388"/>
      <c r="J136" s="388">
        <v>0</v>
      </c>
      <c r="K136" s="388"/>
      <c r="L136" s="388"/>
      <c r="M136" s="169">
        <f>J136*40</f>
        <v>0</v>
      </c>
      <c r="N136" s="388"/>
      <c r="O136" s="388">
        <v>0</v>
      </c>
      <c r="P136" s="388"/>
      <c r="Q136" s="388"/>
      <c r="R136" s="169">
        <f>O136*40</f>
        <v>0</v>
      </c>
      <c r="S136" s="388"/>
      <c r="T136" s="388">
        <v>0</v>
      </c>
      <c r="U136" s="388"/>
      <c r="V136" s="388"/>
      <c r="W136" s="169">
        <f>T136*40</f>
        <v>0</v>
      </c>
      <c r="X136" s="388"/>
      <c r="Y136" s="181"/>
      <c r="Z136" s="181"/>
      <c r="AA136" s="181"/>
      <c r="AB136" s="181"/>
      <c r="AC136" s="181"/>
    </row>
    <row r="137" spans="1:29" x14ac:dyDescent="0.25">
      <c r="A137" s="419"/>
      <c r="B137" s="412"/>
      <c r="C137" s="401" t="s">
        <v>98</v>
      </c>
      <c r="D137" s="401"/>
      <c r="E137" s="388">
        <v>0</v>
      </c>
      <c r="F137" s="388"/>
      <c r="G137" s="388"/>
      <c r="H137" s="169">
        <f>E137*50</f>
        <v>0</v>
      </c>
      <c r="I137" s="388"/>
      <c r="J137" s="388">
        <v>0</v>
      </c>
      <c r="K137" s="388"/>
      <c r="L137" s="388"/>
      <c r="M137" s="169">
        <f>J137*50</f>
        <v>0</v>
      </c>
      <c r="N137" s="388"/>
      <c r="O137" s="388">
        <v>0</v>
      </c>
      <c r="P137" s="388"/>
      <c r="Q137" s="388"/>
      <c r="R137" s="169">
        <f>O137*50</f>
        <v>0</v>
      </c>
      <c r="S137" s="388"/>
      <c r="T137" s="388">
        <v>0</v>
      </c>
      <c r="U137" s="388"/>
      <c r="V137" s="388"/>
      <c r="W137" s="169">
        <f>T137*50</f>
        <v>0</v>
      </c>
      <c r="X137" s="388"/>
      <c r="Y137" s="181"/>
      <c r="Z137" s="181"/>
      <c r="AA137" s="181"/>
      <c r="AB137" s="181"/>
      <c r="AC137" s="181"/>
    </row>
    <row r="138" spans="1:29" x14ac:dyDescent="0.25">
      <c r="A138" s="181"/>
      <c r="B138" s="405"/>
      <c r="C138" s="405"/>
      <c r="D138" s="405"/>
      <c r="E138" s="405"/>
      <c r="F138" s="405"/>
      <c r="G138" s="405"/>
      <c r="H138" s="405"/>
      <c r="I138" s="405"/>
      <c r="J138" s="405"/>
      <c r="K138" s="405"/>
      <c r="L138" s="405"/>
      <c r="M138" s="405"/>
      <c r="N138" s="405"/>
      <c r="O138" s="405"/>
      <c r="P138" s="405"/>
      <c r="Q138" s="405"/>
      <c r="R138" s="405"/>
      <c r="S138" s="405"/>
      <c r="T138" s="405"/>
      <c r="U138" s="405"/>
      <c r="V138" s="405"/>
      <c r="W138" s="405"/>
      <c r="X138" s="185">
        <f>I133+N133+S133+X133</f>
        <v>40</v>
      </c>
      <c r="Y138" s="181"/>
      <c r="Z138" s="181"/>
      <c r="AA138" s="181"/>
      <c r="AB138" s="181"/>
      <c r="AC138" s="181"/>
    </row>
    <row r="139" spans="1:29" ht="17.100000000000001" customHeight="1" x14ac:dyDescent="0.25">
      <c r="A139" s="406" t="s">
        <v>103</v>
      </c>
      <c r="B139" s="407"/>
      <c r="C139" s="407"/>
      <c r="D139" s="407"/>
      <c r="E139" s="407"/>
      <c r="F139" s="407"/>
      <c r="G139" s="407"/>
      <c r="H139" s="407"/>
      <c r="I139" s="407"/>
      <c r="J139" s="407"/>
      <c r="K139" s="407"/>
      <c r="L139" s="407"/>
      <c r="M139" s="407"/>
      <c r="N139" s="407"/>
      <c r="O139" s="407"/>
      <c r="P139" s="407"/>
      <c r="Q139" s="407"/>
      <c r="R139" s="407"/>
      <c r="S139" s="407"/>
      <c r="T139" s="407"/>
      <c r="U139" s="407"/>
      <c r="V139" s="407"/>
      <c r="W139" s="408"/>
      <c r="X139" s="176">
        <f>X106+X114+X122+X130+X138</f>
        <v>330</v>
      </c>
      <c r="Y139" s="181"/>
      <c r="Z139" s="181"/>
      <c r="AA139" s="181"/>
      <c r="AB139" s="181"/>
      <c r="AC139" s="181"/>
    </row>
    <row r="140" spans="1:29" s="409" customFormat="1" ht="17.100000000000001" customHeight="1" x14ac:dyDescent="0.25"/>
    <row r="141" spans="1:29" x14ac:dyDescent="0.25">
      <c r="A141" s="404" t="s">
        <v>104</v>
      </c>
      <c r="B141" s="404"/>
      <c r="C141" s="404"/>
      <c r="D141" s="404"/>
      <c r="E141" s="404"/>
      <c r="F141" s="404"/>
      <c r="G141" s="404"/>
      <c r="H141" s="404"/>
      <c r="I141" s="404"/>
      <c r="J141" s="404"/>
      <c r="K141" s="404"/>
      <c r="L141" s="404"/>
      <c r="M141" s="404"/>
      <c r="N141" s="404"/>
      <c r="O141" s="404"/>
      <c r="P141" s="404"/>
      <c r="Q141" s="404"/>
      <c r="R141" s="404"/>
      <c r="S141" s="404"/>
      <c r="T141" s="404"/>
      <c r="U141" s="404"/>
      <c r="V141" s="404"/>
      <c r="W141" s="404"/>
      <c r="X141" s="404"/>
      <c r="Y141" s="181"/>
      <c r="Z141" s="181"/>
      <c r="AA141" s="181"/>
      <c r="AB141" s="181"/>
      <c r="AC141" s="181"/>
    </row>
    <row r="142" spans="1:29" x14ac:dyDescent="0.25">
      <c r="A142" s="177"/>
      <c r="B142" s="177"/>
      <c r="C142" s="177"/>
      <c r="D142" s="177"/>
      <c r="E142" s="384" t="s">
        <v>31</v>
      </c>
      <c r="F142" s="384"/>
      <c r="G142" s="384"/>
      <c r="H142" s="384"/>
      <c r="I142" s="384"/>
      <c r="J142" s="384" t="s">
        <v>32</v>
      </c>
      <c r="K142" s="384"/>
      <c r="L142" s="384"/>
      <c r="M142" s="384"/>
      <c r="N142" s="384"/>
      <c r="O142" s="384" t="s">
        <v>33</v>
      </c>
      <c r="P142" s="384"/>
      <c r="Q142" s="384"/>
      <c r="R142" s="384"/>
      <c r="S142" s="384"/>
      <c r="T142" s="384" t="s">
        <v>34</v>
      </c>
      <c r="U142" s="384"/>
      <c r="V142" s="384"/>
      <c r="W142" s="384"/>
      <c r="X142" s="384"/>
      <c r="Y142" s="181"/>
      <c r="Z142" s="181"/>
      <c r="AA142" s="181"/>
      <c r="AB142" s="181"/>
      <c r="AC142" s="181"/>
    </row>
    <row r="143" spans="1:29" x14ac:dyDescent="0.25">
      <c r="A143" s="177"/>
      <c r="B143" s="177"/>
      <c r="C143" s="402"/>
      <c r="D143" s="402"/>
      <c r="E143" s="388" t="s">
        <v>70</v>
      </c>
      <c r="F143" s="388"/>
      <c r="G143" s="388"/>
      <c r="H143" s="169" t="s">
        <v>7</v>
      </c>
      <c r="I143" s="169" t="s">
        <v>12</v>
      </c>
      <c r="J143" s="388" t="s">
        <v>70</v>
      </c>
      <c r="K143" s="388"/>
      <c r="L143" s="388"/>
      <c r="M143" s="169" t="s">
        <v>7</v>
      </c>
      <c r="N143" s="169" t="s">
        <v>12</v>
      </c>
      <c r="O143" s="388" t="s">
        <v>70</v>
      </c>
      <c r="P143" s="388"/>
      <c r="Q143" s="388"/>
      <c r="R143" s="169" t="s">
        <v>7</v>
      </c>
      <c r="S143" s="169" t="s">
        <v>12</v>
      </c>
      <c r="T143" s="388" t="s">
        <v>70</v>
      </c>
      <c r="U143" s="388"/>
      <c r="V143" s="388"/>
      <c r="W143" s="169" t="s">
        <v>7</v>
      </c>
      <c r="X143" s="169" t="s">
        <v>12</v>
      </c>
      <c r="Y143" s="181"/>
      <c r="Z143" s="181"/>
      <c r="AA143" s="181"/>
      <c r="AB143" s="181"/>
      <c r="AC143" s="181"/>
    </row>
    <row r="144" spans="1:29" x14ac:dyDescent="0.25">
      <c r="A144" s="419" t="s">
        <v>71</v>
      </c>
      <c r="B144" s="410" t="s">
        <v>105</v>
      </c>
      <c r="C144" s="401" t="s">
        <v>94</v>
      </c>
      <c r="D144" s="401"/>
      <c r="E144" s="388">
        <v>2</v>
      </c>
      <c r="F144" s="388"/>
      <c r="G144" s="388"/>
      <c r="H144" s="169">
        <f>E144*10</f>
        <v>20</v>
      </c>
      <c r="I144" s="388">
        <f>H144+H145+H146+H147+H148</f>
        <v>20</v>
      </c>
      <c r="J144" s="388">
        <v>0</v>
      </c>
      <c r="K144" s="388"/>
      <c r="L144" s="388"/>
      <c r="M144" s="169">
        <f>J144*10</f>
        <v>0</v>
      </c>
      <c r="N144" s="388">
        <f>M144+M145+M148+M147+M146</f>
        <v>90</v>
      </c>
      <c r="O144" s="388">
        <v>0</v>
      </c>
      <c r="P144" s="388"/>
      <c r="Q144" s="388"/>
      <c r="R144" s="169">
        <f>O144*10</f>
        <v>0</v>
      </c>
      <c r="S144" s="388">
        <f>R148+R147+R146+R145+R144</f>
        <v>30</v>
      </c>
      <c r="T144" s="388">
        <v>0</v>
      </c>
      <c r="U144" s="388"/>
      <c r="V144" s="388"/>
      <c r="W144" s="169">
        <f>T144*10</f>
        <v>0</v>
      </c>
      <c r="X144" s="388">
        <f>W144+W145+W146+W147+W148</f>
        <v>0</v>
      </c>
      <c r="Y144" s="181"/>
      <c r="Z144" s="181"/>
      <c r="AA144" s="181"/>
      <c r="AB144" s="181"/>
      <c r="AC144" s="181"/>
    </row>
    <row r="145" spans="1:29" x14ac:dyDescent="0.25">
      <c r="A145" s="419"/>
      <c r="B145" s="411"/>
      <c r="C145" s="401" t="s">
        <v>95</v>
      </c>
      <c r="D145" s="401"/>
      <c r="E145" s="388">
        <v>0</v>
      </c>
      <c r="F145" s="388"/>
      <c r="G145" s="388"/>
      <c r="H145" s="169">
        <f>E145*20</f>
        <v>0</v>
      </c>
      <c r="I145" s="388"/>
      <c r="J145" s="388">
        <v>0</v>
      </c>
      <c r="K145" s="388"/>
      <c r="L145" s="388"/>
      <c r="M145" s="169">
        <f>J145*20</f>
        <v>0</v>
      </c>
      <c r="N145" s="388"/>
      <c r="O145" s="388">
        <v>0</v>
      </c>
      <c r="P145" s="388"/>
      <c r="Q145" s="388"/>
      <c r="R145" s="169">
        <f>O145*20</f>
        <v>0</v>
      </c>
      <c r="S145" s="388"/>
      <c r="T145" s="388">
        <v>0</v>
      </c>
      <c r="U145" s="388"/>
      <c r="V145" s="388"/>
      <c r="W145" s="169">
        <f>T145*20</f>
        <v>0</v>
      </c>
      <c r="X145" s="388"/>
      <c r="Y145" s="181"/>
      <c r="Z145" s="181"/>
      <c r="AA145" s="181"/>
      <c r="AB145" s="181"/>
      <c r="AC145" s="181"/>
    </row>
    <row r="146" spans="1:29" x14ac:dyDescent="0.25">
      <c r="A146" s="419"/>
      <c r="B146" s="411"/>
      <c r="C146" s="401" t="s">
        <v>96</v>
      </c>
      <c r="D146" s="401"/>
      <c r="E146" s="388">
        <v>0</v>
      </c>
      <c r="F146" s="388"/>
      <c r="G146" s="388"/>
      <c r="H146" s="169">
        <f>E146*30</f>
        <v>0</v>
      </c>
      <c r="I146" s="388"/>
      <c r="J146" s="388">
        <v>3</v>
      </c>
      <c r="K146" s="388"/>
      <c r="L146" s="388"/>
      <c r="M146" s="169">
        <f>J146*30</f>
        <v>90</v>
      </c>
      <c r="N146" s="388"/>
      <c r="O146" s="388">
        <v>1</v>
      </c>
      <c r="P146" s="388"/>
      <c r="Q146" s="388"/>
      <c r="R146" s="169">
        <f>O146*30</f>
        <v>30</v>
      </c>
      <c r="S146" s="388"/>
      <c r="T146" s="388">
        <v>0</v>
      </c>
      <c r="U146" s="388"/>
      <c r="V146" s="388"/>
      <c r="W146" s="169">
        <f>T146*30</f>
        <v>0</v>
      </c>
      <c r="X146" s="388"/>
      <c r="Y146" s="181"/>
      <c r="Z146" s="181"/>
      <c r="AA146" s="181"/>
      <c r="AB146" s="181"/>
      <c r="AC146" s="181"/>
    </row>
    <row r="147" spans="1:29" x14ac:dyDescent="0.25">
      <c r="A147" s="419"/>
      <c r="B147" s="411"/>
      <c r="C147" s="401" t="s">
        <v>97</v>
      </c>
      <c r="D147" s="401"/>
      <c r="E147" s="388">
        <v>0</v>
      </c>
      <c r="F147" s="388"/>
      <c r="G147" s="388"/>
      <c r="H147" s="169">
        <f>E147*40</f>
        <v>0</v>
      </c>
      <c r="I147" s="388"/>
      <c r="J147" s="388">
        <v>0</v>
      </c>
      <c r="K147" s="388"/>
      <c r="L147" s="388"/>
      <c r="M147" s="169">
        <f>J147*40</f>
        <v>0</v>
      </c>
      <c r="N147" s="388"/>
      <c r="O147" s="388">
        <v>0</v>
      </c>
      <c r="P147" s="388"/>
      <c r="Q147" s="388"/>
      <c r="R147" s="169">
        <f>O147*40</f>
        <v>0</v>
      </c>
      <c r="S147" s="388"/>
      <c r="T147" s="388">
        <v>0</v>
      </c>
      <c r="U147" s="388"/>
      <c r="V147" s="388"/>
      <c r="W147" s="169">
        <f>T147*40</f>
        <v>0</v>
      </c>
      <c r="X147" s="388"/>
      <c r="Y147" s="181"/>
      <c r="Z147" s="181"/>
      <c r="AA147" s="181"/>
      <c r="AB147" s="181"/>
      <c r="AC147" s="181"/>
    </row>
    <row r="148" spans="1:29" x14ac:dyDescent="0.25">
      <c r="A148" s="419"/>
      <c r="B148" s="412"/>
      <c r="C148" s="401" t="s">
        <v>98</v>
      </c>
      <c r="D148" s="401"/>
      <c r="E148" s="388">
        <v>0</v>
      </c>
      <c r="F148" s="388"/>
      <c r="G148" s="388"/>
      <c r="H148" s="169">
        <f>E148*50</f>
        <v>0</v>
      </c>
      <c r="I148" s="388"/>
      <c r="J148" s="388">
        <v>0</v>
      </c>
      <c r="K148" s="388"/>
      <c r="L148" s="388"/>
      <c r="M148" s="169">
        <f>J148*50</f>
        <v>0</v>
      </c>
      <c r="N148" s="388"/>
      <c r="O148" s="388">
        <v>0</v>
      </c>
      <c r="P148" s="388"/>
      <c r="Q148" s="388"/>
      <c r="R148" s="169">
        <f>O148*50</f>
        <v>0</v>
      </c>
      <c r="S148" s="388"/>
      <c r="T148" s="388">
        <v>0</v>
      </c>
      <c r="U148" s="388"/>
      <c r="V148" s="388"/>
      <c r="W148" s="169">
        <f>T148*50</f>
        <v>0</v>
      </c>
      <c r="X148" s="388"/>
      <c r="Y148" s="181"/>
      <c r="Z148" s="181"/>
      <c r="AA148" s="181"/>
      <c r="AB148" s="181"/>
      <c r="AC148" s="181"/>
    </row>
    <row r="149" spans="1:29" x14ac:dyDescent="0.25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75">
        <f>I144+N144+S144+X144</f>
        <v>140</v>
      </c>
      <c r="Y149" s="181"/>
      <c r="Z149" s="181"/>
      <c r="AA149" s="181"/>
      <c r="AB149" s="181"/>
      <c r="AC149" s="181" t="s">
        <v>106</v>
      </c>
    </row>
    <row r="150" spans="1:29" x14ac:dyDescent="0.25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</row>
    <row r="151" spans="1:29" x14ac:dyDescent="0.25">
      <c r="A151" s="177"/>
      <c r="B151" s="177"/>
      <c r="C151" s="177"/>
      <c r="D151" s="177"/>
      <c r="E151" s="384" t="s">
        <v>31</v>
      </c>
      <c r="F151" s="384"/>
      <c r="G151" s="384"/>
      <c r="H151" s="384"/>
      <c r="I151" s="384"/>
      <c r="J151" s="384" t="s">
        <v>32</v>
      </c>
      <c r="K151" s="384"/>
      <c r="L151" s="384"/>
      <c r="M151" s="384"/>
      <c r="N151" s="384"/>
      <c r="O151" s="384" t="s">
        <v>33</v>
      </c>
      <c r="P151" s="384"/>
      <c r="Q151" s="384"/>
      <c r="R151" s="384"/>
      <c r="S151" s="384"/>
      <c r="T151" s="384" t="s">
        <v>34</v>
      </c>
      <c r="U151" s="384"/>
      <c r="V151" s="384"/>
      <c r="W151" s="384"/>
      <c r="X151" s="384"/>
      <c r="Y151" s="181"/>
      <c r="Z151" s="181"/>
      <c r="AA151" s="181"/>
      <c r="AB151" s="181"/>
      <c r="AC151" s="181"/>
    </row>
    <row r="152" spans="1:29" x14ac:dyDescent="0.25">
      <c r="A152" s="177"/>
      <c r="B152" s="177"/>
      <c r="C152" s="402"/>
      <c r="D152" s="402"/>
      <c r="E152" s="388" t="s">
        <v>70</v>
      </c>
      <c r="F152" s="388"/>
      <c r="G152" s="388"/>
      <c r="H152" s="169" t="s">
        <v>7</v>
      </c>
      <c r="I152" s="169" t="s">
        <v>12</v>
      </c>
      <c r="J152" s="388" t="s">
        <v>70</v>
      </c>
      <c r="K152" s="388"/>
      <c r="L152" s="388"/>
      <c r="M152" s="169" t="s">
        <v>7</v>
      </c>
      <c r="N152" s="169" t="s">
        <v>12</v>
      </c>
      <c r="O152" s="388" t="s">
        <v>70</v>
      </c>
      <c r="P152" s="388"/>
      <c r="Q152" s="388"/>
      <c r="R152" s="169" t="s">
        <v>7</v>
      </c>
      <c r="S152" s="169" t="s">
        <v>12</v>
      </c>
      <c r="T152" s="388" t="s">
        <v>70</v>
      </c>
      <c r="U152" s="388"/>
      <c r="V152" s="388"/>
      <c r="W152" s="169" t="s">
        <v>7</v>
      </c>
      <c r="X152" s="169" t="s">
        <v>12</v>
      </c>
      <c r="Y152" s="181"/>
      <c r="Z152" s="181"/>
      <c r="AA152" s="181"/>
      <c r="AB152" s="181"/>
      <c r="AC152" s="181"/>
    </row>
    <row r="153" spans="1:29" ht="12.75" customHeight="1" x14ac:dyDescent="0.25">
      <c r="A153" s="419" t="s">
        <v>79</v>
      </c>
      <c r="B153" s="401" t="s">
        <v>107</v>
      </c>
      <c r="C153" s="401" t="s">
        <v>108</v>
      </c>
      <c r="D153" s="401"/>
      <c r="E153" s="388">
        <v>0</v>
      </c>
      <c r="F153" s="388"/>
      <c r="G153" s="388"/>
      <c r="H153" s="169">
        <f>E153*10</f>
        <v>0</v>
      </c>
      <c r="I153" s="388">
        <f>H153+H154+H155+H156+H157+H158+H159</f>
        <v>30</v>
      </c>
      <c r="J153" s="388">
        <v>0</v>
      </c>
      <c r="K153" s="388"/>
      <c r="L153" s="388"/>
      <c r="M153" s="169">
        <f>J153*10</f>
        <v>0</v>
      </c>
      <c r="N153" s="388">
        <f>M153+M154+M157+M156+M155+M158+M159</f>
        <v>30</v>
      </c>
      <c r="O153" s="388">
        <v>0</v>
      </c>
      <c r="P153" s="388"/>
      <c r="Q153" s="388"/>
      <c r="R153" s="169">
        <f>O153*10</f>
        <v>0</v>
      </c>
      <c r="S153" s="388">
        <f>R157+R156+R155+R154+R153+R158+R159</f>
        <v>30</v>
      </c>
      <c r="T153" s="388">
        <v>0</v>
      </c>
      <c r="U153" s="388"/>
      <c r="V153" s="388"/>
      <c r="W153" s="169">
        <f>T153*10</f>
        <v>0</v>
      </c>
      <c r="X153" s="388">
        <f>W153+W154+W155+W156+W157+W158+W159</f>
        <v>30</v>
      </c>
      <c r="Y153" s="181"/>
      <c r="Z153" s="181"/>
      <c r="AA153" s="181"/>
      <c r="AB153" s="181"/>
      <c r="AC153" s="181"/>
    </row>
    <row r="154" spans="1:29" x14ac:dyDescent="0.25">
      <c r="A154" s="419"/>
      <c r="B154" s="401"/>
      <c r="C154" s="401" t="s">
        <v>109</v>
      </c>
      <c r="D154" s="401"/>
      <c r="E154" s="388">
        <v>0</v>
      </c>
      <c r="F154" s="388"/>
      <c r="G154" s="388"/>
      <c r="H154" s="169">
        <f>E154*20</f>
        <v>0</v>
      </c>
      <c r="I154" s="388"/>
      <c r="J154" s="388">
        <v>0</v>
      </c>
      <c r="K154" s="388"/>
      <c r="L154" s="388"/>
      <c r="M154" s="169">
        <f>J154*20</f>
        <v>0</v>
      </c>
      <c r="N154" s="388"/>
      <c r="O154" s="388">
        <v>0</v>
      </c>
      <c r="P154" s="388"/>
      <c r="Q154" s="388"/>
      <c r="R154" s="169">
        <f>O154*20</f>
        <v>0</v>
      </c>
      <c r="S154" s="388"/>
      <c r="T154" s="388">
        <v>0</v>
      </c>
      <c r="U154" s="388"/>
      <c r="V154" s="388"/>
      <c r="W154" s="169">
        <f>T154*20</f>
        <v>0</v>
      </c>
      <c r="X154" s="388"/>
      <c r="Y154" s="181"/>
      <c r="Z154" s="181"/>
      <c r="AA154" s="181"/>
      <c r="AB154" s="181"/>
      <c r="AC154" s="181"/>
    </row>
    <row r="155" spans="1:29" x14ac:dyDescent="0.25">
      <c r="A155" s="419"/>
      <c r="B155" s="401"/>
      <c r="C155" s="401" t="s">
        <v>110</v>
      </c>
      <c r="D155" s="401"/>
      <c r="E155" s="388">
        <v>1</v>
      </c>
      <c r="F155" s="388"/>
      <c r="G155" s="388"/>
      <c r="H155" s="169">
        <f>E155*30</f>
        <v>30</v>
      </c>
      <c r="I155" s="388"/>
      <c r="J155" s="388">
        <v>1</v>
      </c>
      <c r="K155" s="388"/>
      <c r="L155" s="388"/>
      <c r="M155" s="169">
        <f>J155*30</f>
        <v>30</v>
      </c>
      <c r="N155" s="388"/>
      <c r="O155" s="388">
        <v>1</v>
      </c>
      <c r="P155" s="388"/>
      <c r="Q155" s="388"/>
      <c r="R155" s="169">
        <f>O155*30</f>
        <v>30</v>
      </c>
      <c r="S155" s="388"/>
      <c r="T155" s="388">
        <v>1</v>
      </c>
      <c r="U155" s="388"/>
      <c r="V155" s="388"/>
      <c r="W155" s="169">
        <f>T155*30</f>
        <v>30</v>
      </c>
      <c r="X155" s="388"/>
      <c r="Y155" s="181"/>
      <c r="Z155" s="181"/>
      <c r="AA155" s="181"/>
      <c r="AB155" s="181"/>
      <c r="AC155" s="181"/>
    </row>
    <row r="156" spans="1:29" x14ac:dyDescent="0.25">
      <c r="A156" s="419"/>
      <c r="B156" s="401"/>
      <c r="C156" s="401" t="s">
        <v>111</v>
      </c>
      <c r="D156" s="401"/>
      <c r="E156" s="388">
        <v>0</v>
      </c>
      <c r="F156" s="388"/>
      <c r="G156" s="388"/>
      <c r="H156" s="169">
        <f>E156*40</f>
        <v>0</v>
      </c>
      <c r="I156" s="388"/>
      <c r="J156" s="388">
        <v>0</v>
      </c>
      <c r="K156" s="388"/>
      <c r="L156" s="388"/>
      <c r="M156" s="169">
        <f>J156*40</f>
        <v>0</v>
      </c>
      <c r="N156" s="388"/>
      <c r="O156" s="388">
        <v>0</v>
      </c>
      <c r="P156" s="388"/>
      <c r="Q156" s="388"/>
      <c r="R156" s="169">
        <f>O156*40</f>
        <v>0</v>
      </c>
      <c r="S156" s="388"/>
      <c r="T156" s="388">
        <v>0</v>
      </c>
      <c r="U156" s="388"/>
      <c r="V156" s="388"/>
      <c r="W156" s="169">
        <f>T156*40</f>
        <v>0</v>
      </c>
      <c r="X156" s="388"/>
      <c r="Y156" s="181"/>
      <c r="Z156" s="181"/>
      <c r="AA156" s="181"/>
      <c r="AB156" s="181"/>
      <c r="AC156" s="181"/>
    </row>
    <row r="157" spans="1:29" x14ac:dyDescent="0.25">
      <c r="A157" s="419"/>
      <c r="B157" s="401"/>
      <c r="C157" s="401" t="s">
        <v>112</v>
      </c>
      <c r="D157" s="401"/>
      <c r="E157" s="388">
        <v>0</v>
      </c>
      <c r="F157" s="388"/>
      <c r="G157" s="388"/>
      <c r="H157" s="169">
        <f>E157*50</f>
        <v>0</v>
      </c>
      <c r="I157" s="388"/>
      <c r="J157" s="388">
        <v>0</v>
      </c>
      <c r="K157" s="388"/>
      <c r="L157" s="388"/>
      <c r="M157" s="169">
        <f>J157*50</f>
        <v>0</v>
      </c>
      <c r="N157" s="388"/>
      <c r="O157" s="388">
        <v>0</v>
      </c>
      <c r="P157" s="388"/>
      <c r="Q157" s="388"/>
      <c r="R157" s="169">
        <f>O157*50</f>
        <v>0</v>
      </c>
      <c r="S157" s="388"/>
      <c r="T157" s="388">
        <v>0</v>
      </c>
      <c r="U157" s="388"/>
      <c r="V157" s="388"/>
      <c r="W157" s="169">
        <f>T157*50</f>
        <v>0</v>
      </c>
      <c r="X157" s="388"/>
      <c r="Y157" s="181"/>
      <c r="Z157" s="181"/>
      <c r="AA157" s="181"/>
      <c r="AB157" s="181"/>
      <c r="AC157" s="181"/>
    </row>
    <row r="158" spans="1:29" x14ac:dyDescent="0.25">
      <c r="A158" s="419"/>
      <c r="B158" s="401"/>
      <c r="C158" s="401" t="s">
        <v>113</v>
      </c>
      <c r="D158" s="401"/>
      <c r="E158" s="388">
        <v>0</v>
      </c>
      <c r="F158" s="388"/>
      <c r="G158" s="388"/>
      <c r="H158" s="169">
        <f>E158*25</f>
        <v>0</v>
      </c>
      <c r="I158" s="388"/>
      <c r="J158" s="388">
        <v>0</v>
      </c>
      <c r="K158" s="388"/>
      <c r="L158" s="388"/>
      <c r="M158" s="169">
        <f>J158*25</f>
        <v>0</v>
      </c>
      <c r="N158" s="388"/>
      <c r="O158" s="388">
        <v>0</v>
      </c>
      <c r="P158" s="388"/>
      <c r="Q158" s="388"/>
      <c r="R158" s="169">
        <f>O158*25</f>
        <v>0</v>
      </c>
      <c r="S158" s="388"/>
      <c r="T158" s="388">
        <v>0</v>
      </c>
      <c r="U158" s="388"/>
      <c r="V158" s="388"/>
      <c r="W158" s="169">
        <f>T158*25</f>
        <v>0</v>
      </c>
      <c r="X158" s="388"/>
      <c r="Y158" s="181"/>
      <c r="Z158" s="181"/>
      <c r="AA158" s="181"/>
      <c r="AB158" s="181"/>
      <c r="AC158" s="181"/>
    </row>
    <row r="159" spans="1:29" x14ac:dyDescent="0.25">
      <c r="A159" s="419"/>
      <c r="B159" s="401"/>
      <c r="C159" s="401" t="s">
        <v>114</v>
      </c>
      <c r="D159" s="401"/>
      <c r="E159" s="388">
        <v>0</v>
      </c>
      <c r="F159" s="388"/>
      <c r="G159" s="388"/>
      <c r="H159" s="169">
        <f>E159*50</f>
        <v>0</v>
      </c>
      <c r="I159" s="388"/>
      <c r="J159" s="388">
        <v>0</v>
      </c>
      <c r="K159" s="388"/>
      <c r="L159" s="388"/>
      <c r="M159" s="169">
        <f>J159*50</f>
        <v>0</v>
      </c>
      <c r="N159" s="388"/>
      <c r="O159" s="388">
        <v>0</v>
      </c>
      <c r="P159" s="388"/>
      <c r="Q159" s="388"/>
      <c r="R159" s="169">
        <f>O159*50</f>
        <v>0</v>
      </c>
      <c r="S159" s="388"/>
      <c r="T159" s="388">
        <v>0</v>
      </c>
      <c r="U159" s="388"/>
      <c r="V159" s="388"/>
      <c r="W159" s="169">
        <f>T159*50</f>
        <v>0</v>
      </c>
      <c r="X159" s="388"/>
      <c r="Y159" s="181"/>
      <c r="Z159" s="181"/>
      <c r="AA159" s="181"/>
      <c r="AB159" s="181"/>
      <c r="AC159" s="181"/>
    </row>
    <row r="160" spans="1:29" x14ac:dyDescent="0.25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75">
        <f>I153+N153+S153+X153</f>
        <v>120</v>
      </c>
      <c r="Y160" s="181"/>
      <c r="Z160" s="181"/>
      <c r="AA160" s="181"/>
      <c r="AB160" s="181"/>
      <c r="AC160" s="181"/>
    </row>
    <row r="161" spans="1:29" x14ac:dyDescent="0.25">
      <c r="A161" s="177"/>
      <c r="B161" s="177"/>
      <c r="C161" s="177"/>
      <c r="D161" s="177"/>
      <c r="E161" s="384" t="s">
        <v>31</v>
      </c>
      <c r="F161" s="384"/>
      <c r="G161" s="384"/>
      <c r="H161" s="384"/>
      <c r="I161" s="384"/>
      <c r="J161" s="384" t="s">
        <v>32</v>
      </c>
      <c r="K161" s="384"/>
      <c r="L161" s="384"/>
      <c r="M161" s="384"/>
      <c r="N161" s="384"/>
      <c r="O161" s="384" t="s">
        <v>33</v>
      </c>
      <c r="P161" s="384"/>
      <c r="Q161" s="384"/>
      <c r="R161" s="384"/>
      <c r="S161" s="384"/>
      <c r="T161" s="384" t="s">
        <v>34</v>
      </c>
      <c r="U161" s="384"/>
      <c r="V161" s="384"/>
      <c r="W161" s="384"/>
      <c r="X161" s="384"/>
      <c r="Y161" s="181"/>
      <c r="Z161" s="181"/>
      <c r="AA161" s="181"/>
      <c r="AB161" s="181"/>
      <c r="AC161" s="181"/>
    </row>
    <row r="162" spans="1:29" x14ac:dyDescent="0.25">
      <c r="A162" s="177"/>
      <c r="B162" s="177"/>
      <c r="C162" s="402"/>
      <c r="D162" s="402"/>
      <c r="E162" s="388" t="s">
        <v>70</v>
      </c>
      <c r="F162" s="388"/>
      <c r="G162" s="388"/>
      <c r="H162" s="394" t="s">
        <v>7</v>
      </c>
      <c r="I162" s="396"/>
      <c r="J162" s="388" t="s">
        <v>70</v>
      </c>
      <c r="K162" s="388"/>
      <c r="L162" s="388"/>
      <c r="M162" s="394" t="s">
        <v>7</v>
      </c>
      <c r="N162" s="396"/>
      <c r="O162" s="388" t="s">
        <v>70</v>
      </c>
      <c r="P162" s="388"/>
      <c r="Q162" s="388"/>
      <c r="R162" s="394" t="s">
        <v>7</v>
      </c>
      <c r="S162" s="396"/>
      <c r="T162" s="388" t="s">
        <v>70</v>
      </c>
      <c r="U162" s="388"/>
      <c r="V162" s="388"/>
      <c r="W162" s="394" t="s">
        <v>7</v>
      </c>
      <c r="X162" s="396"/>
      <c r="Y162" s="181"/>
      <c r="Z162" s="181"/>
      <c r="AA162" s="181"/>
      <c r="AB162" s="181"/>
      <c r="AC162" s="181"/>
    </row>
    <row r="163" spans="1:29" ht="23.25" customHeight="1" x14ac:dyDescent="0.25">
      <c r="A163" s="178" t="s">
        <v>81</v>
      </c>
      <c r="B163" s="179" t="s">
        <v>115</v>
      </c>
      <c r="C163" s="401" t="s">
        <v>116</v>
      </c>
      <c r="D163" s="401"/>
      <c r="E163" s="394">
        <v>0</v>
      </c>
      <c r="F163" s="395"/>
      <c r="G163" s="396"/>
      <c r="H163" s="394">
        <f>E163*10</f>
        <v>0</v>
      </c>
      <c r="I163" s="396"/>
      <c r="J163" s="394">
        <v>1</v>
      </c>
      <c r="K163" s="395"/>
      <c r="L163" s="396"/>
      <c r="M163" s="394">
        <f>J163*10</f>
        <v>10</v>
      </c>
      <c r="N163" s="396"/>
      <c r="O163" s="394">
        <v>0</v>
      </c>
      <c r="P163" s="395"/>
      <c r="Q163" s="396"/>
      <c r="R163" s="394">
        <f>O163*10</f>
        <v>0</v>
      </c>
      <c r="S163" s="396"/>
      <c r="T163" s="394">
        <v>0</v>
      </c>
      <c r="U163" s="395"/>
      <c r="V163" s="396"/>
      <c r="W163" s="394">
        <f>T163*10</f>
        <v>0</v>
      </c>
      <c r="X163" s="396"/>
      <c r="Y163" s="181"/>
      <c r="Z163" s="181"/>
      <c r="AA163" s="181"/>
      <c r="AB163" s="181"/>
      <c r="AC163" s="181"/>
    </row>
    <row r="164" spans="1:29" x14ac:dyDescent="0.25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75">
        <f>H163+M163+R163+W163</f>
        <v>10</v>
      </c>
      <c r="Y164" s="181"/>
      <c r="Z164" s="181"/>
      <c r="AA164" s="181"/>
      <c r="AB164" s="181"/>
      <c r="AC164" s="181"/>
    </row>
    <row r="165" spans="1:29" x14ac:dyDescent="0.25">
      <c r="A165" s="177"/>
      <c r="B165" s="177"/>
      <c r="C165" s="177"/>
      <c r="D165" s="177"/>
      <c r="E165" s="384" t="s">
        <v>31</v>
      </c>
      <c r="F165" s="384"/>
      <c r="G165" s="384"/>
      <c r="H165" s="384"/>
      <c r="I165" s="384"/>
      <c r="J165" s="384" t="s">
        <v>32</v>
      </c>
      <c r="K165" s="384"/>
      <c r="L165" s="384"/>
      <c r="M165" s="384"/>
      <c r="N165" s="384"/>
      <c r="O165" s="384" t="s">
        <v>33</v>
      </c>
      <c r="P165" s="384"/>
      <c r="Q165" s="384"/>
      <c r="R165" s="384"/>
      <c r="S165" s="384"/>
      <c r="T165" s="384" t="s">
        <v>34</v>
      </c>
      <c r="U165" s="384"/>
      <c r="V165" s="384"/>
      <c r="W165" s="384"/>
      <c r="X165" s="384"/>
      <c r="Y165" s="181"/>
      <c r="Z165" s="181"/>
      <c r="AA165" s="181"/>
      <c r="AB165" s="181"/>
      <c r="AC165" s="181"/>
    </row>
    <row r="166" spans="1:29" x14ac:dyDescent="0.25">
      <c r="A166" s="177"/>
      <c r="B166" s="177"/>
      <c r="C166" s="402"/>
      <c r="D166" s="402"/>
      <c r="E166" s="388" t="s">
        <v>70</v>
      </c>
      <c r="F166" s="388"/>
      <c r="G166" s="388"/>
      <c r="H166" s="394" t="s">
        <v>7</v>
      </c>
      <c r="I166" s="396"/>
      <c r="J166" s="388" t="s">
        <v>70</v>
      </c>
      <c r="K166" s="388"/>
      <c r="L166" s="388"/>
      <c r="M166" s="394" t="s">
        <v>7</v>
      </c>
      <c r="N166" s="396"/>
      <c r="O166" s="388" t="s">
        <v>70</v>
      </c>
      <c r="P166" s="388"/>
      <c r="Q166" s="388"/>
      <c r="R166" s="394" t="s">
        <v>7</v>
      </c>
      <c r="S166" s="396"/>
      <c r="T166" s="388" t="s">
        <v>70</v>
      </c>
      <c r="U166" s="388"/>
      <c r="V166" s="388"/>
      <c r="W166" s="394" t="s">
        <v>7</v>
      </c>
      <c r="X166" s="396"/>
      <c r="Y166" s="181"/>
      <c r="Z166" s="181"/>
      <c r="AA166" s="181"/>
      <c r="AB166" s="181"/>
      <c r="AC166" s="181"/>
    </row>
    <row r="167" spans="1:29" ht="24" x14ac:dyDescent="0.25">
      <c r="A167" s="178" t="s">
        <v>83</v>
      </c>
      <c r="B167" s="179" t="s">
        <v>117</v>
      </c>
      <c r="C167" s="401" t="s">
        <v>118</v>
      </c>
      <c r="D167" s="401"/>
      <c r="E167" s="394">
        <v>10</v>
      </c>
      <c r="F167" s="395"/>
      <c r="G167" s="396"/>
      <c r="H167" s="394">
        <f>E167*3</f>
        <v>30</v>
      </c>
      <c r="I167" s="396"/>
      <c r="J167" s="394">
        <v>3</v>
      </c>
      <c r="K167" s="395"/>
      <c r="L167" s="396"/>
      <c r="M167" s="394">
        <f>J167*3</f>
        <v>9</v>
      </c>
      <c r="N167" s="396"/>
      <c r="O167" s="394">
        <v>5</v>
      </c>
      <c r="P167" s="395"/>
      <c r="Q167" s="396"/>
      <c r="R167" s="394">
        <f>O167*3</f>
        <v>15</v>
      </c>
      <c r="S167" s="396"/>
      <c r="T167" s="394">
        <v>3</v>
      </c>
      <c r="U167" s="395"/>
      <c r="V167" s="396"/>
      <c r="W167" s="394">
        <f>T167*3</f>
        <v>9</v>
      </c>
      <c r="X167" s="396"/>
      <c r="Y167" s="181"/>
      <c r="Z167" s="181"/>
      <c r="AA167" s="181"/>
      <c r="AB167" s="181"/>
      <c r="AC167" s="181"/>
    </row>
    <row r="168" spans="1:29" x14ac:dyDescent="0.25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75">
        <f>H167+M167+R167+W167</f>
        <v>63</v>
      </c>
      <c r="Y168" s="181"/>
      <c r="Z168" s="181"/>
      <c r="AA168" s="181"/>
      <c r="AB168" s="181"/>
      <c r="AC168" s="181"/>
    </row>
    <row r="169" spans="1:29" x14ac:dyDescent="0.25">
      <c r="A169" s="177"/>
      <c r="B169" s="177"/>
      <c r="C169" s="177"/>
      <c r="D169" s="177"/>
      <c r="E169" s="384" t="s">
        <v>31</v>
      </c>
      <c r="F169" s="384"/>
      <c r="G169" s="384"/>
      <c r="H169" s="384"/>
      <c r="I169" s="384"/>
      <c r="J169" s="384" t="s">
        <v>32</v>
      </c>
      <c r="K169" s="384"/>
      <c r="L169" s="384"/>
      <c r="M169" s="384"/>
      <c r="N169" s="384"/>
      <c r="O169" s="384" t="s">
        <v>33</v>
      </c>
      <c r="P169" s="384"/>
      <c r="Q169" s="384"/>
      <c r="R169" s="384"/>
      <c r="S169" s="384"/>
      <c r="T169" s="384" t="s">
        <v>34</v>
      </c>
      <c r="U169" s="384"/>
      <c r="V169" s="384"/>
      <c r="W169" s="384"/>
      <c r="X169" s="384"/>
      <c r="Y169" s="181"/>
      <c r="Z169" s="181"/>
      <c r="AA169" s="181"/>
      <c r="AB169" s="181"/>
      <c r="AC169" s="181"/>
    </row>
    <row r="170" spans="1:29" x14ac:dyDescent="0.25">
      <c r="A170" s="177"/>
      <c r="B170" s="177"/>
      <c r="C170" s="402"/>
      <c r="D170" s="402"/>
      <c r="E170" s="388" t="s">
        <v>70</v>
      </c>
      <c r="F170" s="388"/>
      <c r="G170" s="388"/>
      <c r="H170" s="169" t="s">
        <v>7</v>
      </c>
      <c r="I170" s="169" t="s">
        <v>12</v>
      </c>
      <c r="J170" s="388" t="s">
        <v>70</v>
      </c>
      <c r="K170" s="388"/>
      <c r="L170" s="388"/>
      <c r="M170" s="169" t="s">
        <v>7</v>
      </c>
      <c r="N170" s="169" t="s">
        <v>12</v>
      </c>
      <c r="O170" s="388" t="s">
        <v>70</v>
      </c>
      <c r="P170" s="388"/>
      <c r="Q170" s="388"/>
      <c r="R170" s="169" t="s">
        <v>7</v>
      </c>
      <c r="S170" s="169" t="s">
        <v>12</v>
      </c>
      <c r="T170" s="388" t="s">
        <v>70</v>
      </c>
      <c r="U170" s="388"/>
      <c r="V170" s="388"/>
      <c r="W170" s="169" t="s">
        <v>7</v>
      </c>
      <c r="X170" s="169" t="s">
        <v>12</v>
      </c>
      <c r="Y170" s="181"/>
      <c r="Z170" s="181"/>
      <c r="AA170" s="181"/>
      <c r="AB170" s="181"/>
      <c r="AC170" s="181"/>
    </row>
    <row r="171" spans="1:29" x14ac:dyDescent="0.25">
      <c r="A171" s="419" t="s">
        <v>87</v>
      </c>
      <c r="B171" s="410" t="s">
        <v>119</v>
      </c>
      <c r="C171" s="401" t="s">
        <v>94</v>
      </c>
      <c r="D171" s="401"/>
      <c r="E171" s="388">
        <v>0</v>
      </c>
      <c r="F171" s="388"/>
      <c r="G171" s="388"/>
      <c r="H171" s="169">
        <f>E171*10</f>
        <v>0</v>
      </c>
      <c r="I171" s="388">
        <f>H171+H172+H173+H174+H175</f>
        <v>0</v>
      </c>
      <c r="J171" s="388">
        <v>0</v>
      </c>
      <c r="K171" s="388"/>
      <c r="L171" s="388"/>
      <c r="M171" s="169">
        <f>J171*10</f>
        <v>0</v>
      </c>
      <c r="N171" s="388">
        <f>M171+M172+M175+M174+M173</f>
        <v>0</v>
      </c>
      <c r="O171" s="388">
        <v>0</v>
      </c>
      <c r="P171" s="388"/>
      <c r="Q171" s="388"/>
      <c r="R171" s="169">
        <f>O171*10</f>
        <v>0</v>
      </c>
      <c r="S171" s="388">
        <f>R175+R174+R173+R172+R171</f>
        <v>0</v>
      </c>
      <c r="T171" s="388">
        <v>0</v>
      </c>
      <c r="U171" s="388"/>
      <c r="V171" s="388"/>
      <c r="W171" s="169">
        <f>T171*10</f>
        <v>0</v>
      </c>
      <c r="X171" s="388">
        <f>W171+W172+W173+W174+W175</f>
        <v>0</v>
      </c>
      <c r="Y171" s="181"/>
      <c r="Z171" s="181"/>
      <c r="AA171" s="181"/>
      <c r="AB171" s="181"/>
      <c r="AC171" s="181"/>
    </row>
    <row r="172" spans="1:29" x14ac:dyDescent="0.25">
      <c r="A172" s="419"/>
      <c r="B172" s="411"/>
      <c r="C172" s="401" t="s">
        <v>95</v>
      </c>
      <c r="D172" s="401"/>
      <c r="E172" s="388">
        <v>0</v>
      </c>
      <c r="F172" s="388"/>
      <c r="G172" s="388"/>
      <c r="H172" s="169">
        <f>E172*20</f>
        <v>0</v>
      </c>
      <c r="I172" s="388"/>
      <c r="J172" s="388">
        <v>0</v>
      </c>
      <c r="K172" s="388"/>
      <c r="L172" s="388"/>
      <c r="M172" s="169">
        <f>J172*20</f>
        <v>0</v>
      </c>
      <c r="N172" s="388"/>
      <c r="O172" s="388">
        <v>0</v>
      </c>
      <c r="P172" s="388"/>
      <c r="Q172" s="388"/>
      <c r="R172" s="169">
        <f>O172*20</f>
        <v>0</v>
      </c>
      <c r="S172" s="388"/>
      <c r="T172" s="388">
        <v>0</v>
      </c>
      <c r="U172" s="388"/>
      <c r="V172" s="388"/>
      <c r="W172" s="169">
        <f>T172*20</f>
        <v>0</v>
      </c>
      <c r="X172" s="388"/>
      <c r="Y172" s="181"/>
      <c r="Z172" s="181"/>
      <c r="AA172" s="181"/>
      <c r="AB172" s="181"/>
      <c r="AC172" s="181"/>
    </row>
    <row r="173" spans="1:29" x14ac:dyDescent="0.25">
      <c r="A173" s="419"/>
      <c r="B173" s="411"/>
      <c r="C173" s="401" t="s">
        <v>96</v>
      </c>
      <c r="D173" s="401"/>
      <c r="E173" s="388">
        <v>0</v>
      </c>
      <c r="F173" s="388"/>
      <c r="G173" s="388"/>
      <c r="H173" s="169">
        <f>E173*30</f>
        <v>0</v>
      </c>
      <c r="I173" s="388"/>
      <c r="J173" s="388">
        <v>0</v>
      </c>
      <c r="K173" s="388"/>
      <c r="L173" s="388"/>
      <c r="M173" s="169">
        <f>J173*30</f>
        <v>0</v>
      </c>
      <c r="N173" s="388"/>
      <c r="O173" s="388">
        <v>0</v>
      </c>
      <c r="P173" s="388"/>
      <c r="Q173" s="388"/>
      <c r="R173" s="169">
        <f>O173*30</f>
        <v>0</v>
      </c>
      <c r="S173" s="388"/>
      <c r="T173" s="388">
        <v>0</v>
      </c>
      <c r="U173" s="388"/>
      <c r="V173" s="388"/>
      <c r="W173" s="169">
        <f>T173*30</f>
        <v>0</v>
      </c>
      <c r="X173" s="388"/>
      <c r="Y173" s="181"/>
      <c r="Z173" s="181"/>
      <c r="AA173" s="181"/>
      <c r="AB173" s="181"/>
      <c r="AC173" s="181"/>
    </row>
    <row r="174" spans="1:29" x14ac:dyDescent="0.25">
      <c r="A174" s="419"/>
      <c r="B174" s="411"/>
      <c r="C174" s="401" t="s">
        <v>97</v>
      </c>
      <c r="D174" s="401"/>
      <c r="E174" s="388">
        <v>0</v>
      </c>
      <c r="F174" s="388"/>
      <c r="G174" s="388"/>
      <c r="H174" s="169">
        <f>E174*40</f>
        <v>0</v>
      </c>
      <c r="I174" s="388"/>
      <c r="J174" s="388">
        <v>0</v>
      </c>
      <c r="K174" s="388"/>
      <c r="L174" s="388"/>
      <c r="M174" s="169">
        <f>J174*40</f>
        <v>0</v>
      </c>
      <c r="N174" s="388"/>
      <c r="O174" s="388">
        <v>0</v>
      </c>
      <c r="P174" s="388"/>
      <c r="Q174" s="388"/>
      <c r="R174" s="169">
        <f>O174*40</f>
        <v>0</v>
      </c>
      <c r="S174" s="388"/>
      <c r="T174" s="388">
        <v>0</v>
      </c>
      <c r="U174" s="388"/>
      <c r="V174" s="388"/>
      <c r="W174" s="169">
        <f>T174*40</f>
        <v>0</v>
      </c>
      <c r="X174" s="388"/>
      <c r="Y174" s="181"/>
      <c r="Z174" s="181"/>
      <c r="AA174" s="181"/>
      <c r="AB174" s="181"/>
      <c r="AC174" s="181"/>
    </row>
    <row r="175" spans="1:29" x14ac:dyDescent="0.25">
      <c r="A175" s="419"/>
      <c r="B175" s="412"/>
      <c r="C175" s="401" t="s">
        <v>98</v>
      </c>
      <c r="D175" s="401"/>
      <c r="E175" s="388">
        <v>0</v>
      </c>
      <c r="F175" s="388"/>
      <c r="G175" s="388"/>
      <c r="H175" s="169">
        <f>E175*50</f>
        <v>0</v>
      </c>
      <c r="I175" s="388"/>
      <c r="J175" s="388">
        <v>0</v>
      </c>
      <c r="K175" s="388"/>
      <c r="L175" s="388"/>
      <c r="M175" s="169">
        <f>J175*50</f>
        <v>0</v>
      </c>
      <c r="N175" s="388"/>
      <c r="O175" s="388">
        <v>0</v>
      </c>
      <c r="P175" s="388"/>
      <c r="Q175" s="388"/>
      <c r="R175" s="169">
        <f>O175*50</f>
        <v>0</v>
      </c>
      <c r="S175" s="388"/>
      <c r="T175" s="388">
        <v>0</v>
      </c>
      <c r="U175" s="388"/>
      <c r="V175" s="388"/>
      <c r="W175" s="169">
        <f>T175*50</f>
        <v>0</v>
      </c>
      <c r="X175" s="388"/>
      <c r="Y175" s="181"/>
      <c r="Z175" s="181"/>
      <c r="AA175" s="181"/>
      <c r="AB175" s="181"/>
      <c r="AC175" s="181"/>
    </row>
    <row r="176" spans="1:29" x14ac:dyDescent="0.25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75">
        <f>I171+N171+S171+X171</f>
        <v>0</v>
      </c>
      <c r="Y176" s="181"/>
      <c r="Z176" s="181"/>
      <c r="AA176" s="181"/>
      <c r="AB176" s="181"/>
      <c r="AC176" s="181"/>
    </row>
    <row r="177" spans="1:29" x14ac:dyDescent="0.25">
      <c r="A177" s="177"/>
      <c r="B177" s="177"/>
      <c r="C177" s="177"/>
      <c r="D177" s="177"/>
      <c r="E177" s="384" t="s">
        <v>31</v>
      </c>
      <c r="F177" s="384"/>
      <c r="G177" s="384"/>
      <c r="H177" s="384"/>
      <c r="I177" s="384"/>
      <c r="J177" s="384" t="s">
        <v>32</v>
      </c>
      <c r="K177" s="384"/>
      <c r="L177" s="384"/>
      <c r="M177" s="384"/>
      <c r="N177" s="384"/>
      <c r="O177" s="384" t="s">
        <v>33</v>
      </c>
      <c r="P177" s="384"/>
      <c r="Q177" s="384"/>
      <c r="R177" s="384"/>
      <c r="S177" s="384"/>
      <c r="T177" s="384" t="s">
        <v>34</v>
      </c>
      <c r="U177" s="384"/>
      <c r="V177" s="384"/>
      <c r="W177" s="384"/>
      <c r="X177" s="384"/>
      <c r="Y177" s="181"/>
      <c r="Z177" s="181"/>
      <c r="AA177" s="181"/>
      <c r="AB177" s="181"/>
      <c r="AC177" s="181"/>
    </row>
    <row r="178" spans="1:29" x14ac:dyDescent="0.25">
      <c r="A178" s="177"/>
      <c r="B178" s="177"/>
      <c r="C178" s="402"/>
      <c r="D178" s="402"/>
      <c r="E178" s="388" t="s">
        <v>70</v>
      </c>
      <c r="F178" s="388"/>
      <c r="G178" s="388"/>
      <c r="H178" s="169" t="s">
        <v>7</v>
      </c>
      <c r="I178" s="169" t="s">
        <v>12</v>
      </c>
      <c r="J178" s="388" t="s">
        <v>70</v>
      </c>
      <c r="K178" s="388"/>
      <c r="L178" s="388"/>
      <c r="M178" s="169" t="s">
        <v>7</v>
      </c>
      <c r="N178" s="169" t="s">
        <v>12</v>
      </c>
      <c r="O178" s="388" t="s">
        <v>70</v>
      </c>
      <c r="P178" s="388"/>
      <c r="Q178" s="388"/>
      <c r="R178" s="169" t="s">
        <v>7</v>
      </c>
      <c r="S178" s="169" t="s">
        <v>12</v>
      </c>
      <c r="T178" s="388" t="s">
        <v>70</v>
      </c>
      <c r="U178" s="388"/>
      <c r="V178" s="388"/>
      <c r="W178" s="169" t="s">
        <v>7</v>
      </c>
      <c r="X178" s="169" t="s">
        <v>12</v>
      </c>
      <c r="Y178" s="181"/>
      <c r="Z178" s="181"/>
      <c r="AA178" s="181"/>
      <c r="AB178" s="181"/>
      <c r="AC178" s="181"/>
    </row>
    <row r="179" spans="1:29" x14ac:dyDescent="0.25">
      <c r="A179" s="419" t="s">
        <v>89</v>
      </c>
      <c r="B179" s="410" t="s">
        <v>120</v>
      </c>
      <c r="C179" s="401" t="s">
        <v>94</v>
      </c>
      <c r="D179" s="401"/>
      <c r="E179" s="388">
        <v>11</v>
      </c>
      <c r="F179" s="388"/>
      <c r="G179" s="388"/>
      <c r="H179" s="169">
        <f>E179*10</f>
        <v>110</v>
      </c>
      <c r="I179" s="388">
        <f>H179+H180+H181+H182+H183</f>
        <v>110</v>
      </c>
      <c r="J179" s="388">
        <v>0</v>
      </c>
      <c r="K179" s="388"/>
      <c r="L179" s="388"/>
      <c r="M179" s="169">
        <f>J179*10</f>
        <v>0</v>
      </c>
      <c r="N179" s="388">
        <f>M179+M180+M183+M182+M181</f>
        <v>0</v>
      </c>
      <c r="O179" s="388">
        <v>0</v>
      </c>
      <c r="P179" s="388"/>
      <c r="Q179" s="388"/>
      <c r="R179" s="169">
        <f>O179*10</f>
        <v>0</v>
      </c>
      <c r="S179" s="388">
        <f>R183+R182+R181+R180+R179</f>
        <v>0</v>
      </c>
      <c r="T179" s="388">
        <v>0</v>
      </c>
      <c r="U179" s="388"/>
      <c r="V179" s="388"/>
      <c r="W179" s="169">
        <f>T179*10</f>
        <v>0</v>
      </c>
      <c r="X179" s="388">
        <f>W179+W180+W181+W182+W183</f>
        <v>0</v>
      </c>
      <c r="Y179" s="181"/>
      <c r="Z179" s="181"/>
      <c r="AA179" s="181"/>
      <c r="AB179" s="181"/>
      <c r="AC179" s="181"/>
    </row>
    <row r="180" spans="1:29" x14ac:dyDescent="0.25">
      <c r="A180" s="419"/>
      <c r="B180" s="411"/>
      <c r="C180" s="401" t="s">
        <v>95</v>
      </c>
      <c r="D180" s="401"/>
      <c r="E180" s="388">
        <v>0</v>
      </c>
      <c r="F180" s="388"/>
      <c r="G180" s="388"/>
      <c r="H180" s="169">
        <f>E180*20</f>
        <v>0</v>
      </c>
      <c r="I180" s="388"/>
      <c r="J180" s="388">
        <v>0</v>
      </c>
      <c r="K180" s="388"/>
      <c r="L180" s="388"/>
      <c r="M180" s="169">
        <f>J180*20</f>
        <v>0</v>
      </c>
      <c r="N180" s="388"/>
      <c r="O180" s="388">
        <v>0</v>
      </c>
      <c r="P180" s="388"/>
      <c r="Q180" s="388"/>
      <c r="R180" s="169">
        <f>O180*20</f>
        <v>0</v>
      </c>
      <c r="S180" s="388"/>
      <c r="T180" s="388">
        <v>0</v>
      </c>
      <c r="U180" s="388"/>
      <c r="V180" s="388"/>
      <c r="W180" s="169">
        <f>T180*20</f>
        <v>0</v>
      </c>
      <c r="X180" s="388"/>
      <c r="Y180" s="181"/>
      <c r="Z180" s="181"/>
      <c r="AA180" s="181"/>
      <c r="AB180" s="181"/>
      <c r="AC180" s="181"/>
    </row>
    <row r="181" spans="1:29" x14ac:dyDescent="0.25">
      <c r="A181" s="419"/>
      <c r="B181" s="411"/>
      <c r="C181" s="401" t="s">
        <v>96</v>
      </c>
      <c r="D181" s="401"/>
      <c r="E181" s="388">
        <v>0</v>
      </c>
      <c r="F181" s="388"/>
      <c r="G181" s="388"/>
      <c r="H181" s="169">
        <f>E181*30</f>
        <v>0</v>
      </c>
      <c r="I181" s="388"/>
      <c r="J181" s="388">
        <v>0</v>
      </c>
      <c r="K181" s="388"/>
      <c r="L181" s="388"/>
      <c r="M181" s="169">
        <f>J181*30</f>
        <v>0</v>
      </c>
      <c r="N181" s="388"/>
      <c r="O181" s="388">
        <v>0</v>
      </c>
      <c r="P181" s="388"/>
      <c r="Q181" s="388"/>
      <c r="R181" s="169">
        <f>O181*30</f>
        <v>0</v>
      </c>
      <c r="S181" s="388"/>
      <c r="T181" s="388">
        <v>0</v>
      </c>
      <c r="U181" s="388"/>
      <c r="V181" s="388"/>
      <c r="W181" s="169">
        <f>T181*30</f>
        <v>0</v>
      </c>
      <c r="X181" s="388"/>
      <c r="Y181" s="181"/>
      <c r="Z181" s="181"/>
      <c r="AA181" s="181"/>
      <c r="AB181" s="181"/>
      <c r="AC181" s="181"/>
    </row>
    <row r="182" spans="1:29" x14ac:dyDescent="0.25">
      <c r="A182" s="419"/>
      <c r="B182" s="411"/>
      <c r="C182" s="401" t="s">
        <v>97</v>
      </c>
      <c r="D182" s="401"/>
      <c r="E182" s="388">
        <v>0</v>
      </c>
      <c r="F182" s="388"/>
      <c r="G182" s="388"/>
      <c r="H182" s="169">
        <f>E182*40</f>
        <v>0</v>
      </c>
      <c r="I182" s="388"/>
      <c r="J182" s="388">
        <v>0</v>
      </c>
      <c r="K182" s="388"/>
      <c r="L182" s="388"/>
      <c r="M182" s="169">
        <f>J182*40</f>
        <v>0</v>
      </c>
      <c r="N182" s="388"/>
      <c r="O182" s="388">
        <v>0</v>
      </c>
      <c r="P182" s="388"/>
      <c r="Q182" s="388"/>
      <c r="R182" s="169">
        <f>O182*40</f>
        <v>0</v>
      </c>
      <c r="S182" s="388"/>
      <c r="T182" s="388">
        <v>0</v>
      </c>
      <c r="U182" s="388"/>
      <c r="V182" s="388"/>
      <c r="W182" s="169">
        <f>T182*40</f>
        <v>0</v>
      </c>
      <c r="X182" s="388"/>
      <c r="Y182" s="181"/>
      <c r="Z182" s="181"/>
      <c r="AA182" s="181"/>
      <c r="AB182" s="181"/>
      <c r="AC182" s="181"/>
    </row>
    <row r="183" spans="1:29" ht="27" customHeight="1" x14ac:dyDescent="0.25">
      <c r="A183" s="419"/>
      <c r="B183" s="412"/>
      <c r="C183" s="401" t="s">
        <v>98</v>
      </c>
      <c r="D183" s="401"/>
      <c r="E183" s="388">
        <v>0</v>
      </c>
      <c r="F183" s="388"/>
      <c r="G183" s="388"/>
      <c r="H183" s="169">
        <f>E183*50</f>
        <v>0</v>
      </c>
      <c r="I183" s="388"/>
      <c r="J183" s="388">
        <v>0</v>
      </c>
      <c r="K183" s="388"/>
      <c r="L183" s="388"/>
      <c r="M183" s="169">
        <f>J183*50</f>
        <v>0</v>
      </c>
      <c r="N183" s="388"/>
      <c r="O183" s="388">
        <v>0</v>
      </c>
      <c r="P183" s="388"/>
      <c r="Q183" s="388"/>
      <c r="R183" s="169">
        <f>O183*50</f>
        <v>0</v>
      </c>
      <c r="S183" s="388"/>
      <c r="T183" s="388">
        <v>0</v>
      </c>
      <c r="U183" s="388"/>
      <c r="V183" s="388"/>
      <c r="W183" s="169">
        <f>T183*50</f>
        <v>0</v>
      </c>
      <c r="X183" s="388"/>
      <c r="Y183" s="181"/>
      <c r="Z183" s="181"/>
      <c r="AA183" s="181"/>
      <c r="AB183" s="181"/>
      <c r="AC183" s="181"/>
    </row>
    <row r="184" spans="1:29" x14ac:dyDescent="0.25">
      <c r="A184" s="413"/>
      <c r="B184" s="413"/>
      <c r="C184" s="413"/>
      <c r="D184" s="413"/>
      <c r="E184" s="413"/>
      <c r="F184" s="413"/>
      <c r="G184" s="413"/>
      <c r="H184" s="413"/>
      <c r="I184" s="413"/>
      <c r="J184" s="413"/>
      <c r="K184" s="413"/>
      <c r="L184" s="413"/>
      <c r="M184" s="413"/>
      <c r="N184" s="413"/>
      <c r="O184" s="413"/>
      <c r="P184" s="413"/>
      <c r="Q184" s="413"/>
      <c r="R184" s="413"/>
      <c r="S184" s="413"/>
      <c r="T184" s="413"/>
      <c r="U184" s="413"/>
      <c r="V184" s="413"/>
      <c r="W184" s="413"/>
      <c r="X184" s="186">
        <f>I179+N179+S179+X179</f>
        <v>110</v>
      </c>
      <c r="Y184" s="181"/>
      <c r="Z184" s="181"/>
      <c r="AA184" s="181"/>
      <c r="AB184" s="181"/>
      <c r="AC184" s="181"/>
    </row>
    <row r="185" spans="1:29" ht="15" customHeight="1" x14ac:dyDescent="0.25">
      <c r="A185" s="414" t="s">
        <v>121</v>
      </c>
      <c r="B185" s="414"/>
      <c r="C185" s="414"/>
      <c r="D185" s="414"/>
      <c r="E185" s="414"/>
      <c r="F185" s="414"/>
      <c r="G185" s="414"/>
      <c r="H185" s="414"/>
      <c r="I185" s="414"/>
      <c r="J185" s="414"/>
      <c r="K185" s="414"/>
      <c r="L185" s="414"/>
      <c r="M185" s="414"/>
      <c r="N185" s="414"/>
      <c r="O185" s="414"/>
      <c r="P185" s="414"/>
      <c r="Q185" s="414"/>
      <c r="R185" s="414"/>
      <c r="S185" s="414"/>
      <c r="T185" s="414"/>
      <c r="U185" s="414"/>
      <c r="V185" s="414"/>
      <c r="W185" s="414"/>
      <c r="X185" s="187">
        <f>X149+X160+X164+X168+X176+X184</f>
        <v>443</v>
      </c>
      <c r="Y185" s="181"/>
      <c r="Z185" s="181"/>
      <c r="AA185" s="181"/>
      <c r="AB185" s="181"/>
      <c r="AC185" s="181"/>
    </row>
    <row r="186" spans="1:29" ht="15" customHeight="1" x14ac:dyDescent="0.25">
      <c r="A186" s="414" t="s">
        <v>122</v>
      </c>
      <c r="B186" s="414"/>
      <c r="C186" s="414"/>
      <c r="D186" s="414"/>
      <c r="E186" s="414"/>
      <c r="F186" s="414"/>
      <c r="G186" s="414"/>
      <c r="H186" s="414"/>
      <c r="I186" s="414"/>
      <c r="J186" s="414"/>
      <c r="K186" s="414"/>
      <c r="L186" s="414"/>
      <c r="M186" s="414"/>
      <c r="N186" s="414"/>
      <c r="O186" s="414"/>
      <c r="P186" s="414"/>
      <c r="Q186" s="414"/>
      <c r="R186" s="414"/>
      <c r="S186" s="414"/>
      <c r="T186" s="414"/>
      <c r="U186" s="414"/>
      <c r="V186" s="414"/>
      <c r="W186" s="414"/>
      <c r="X186" s="187">
        <f>X96+X139+X185</f>
        <v>6168</v>
      </c>
      <c r="Y186" s="181"/>
      <c r="Z186" s="181"/>
      <c r="AA186" s="181"/>
      <c r="AB186" s="181"/>
      <c r="AC186" s="181"/>
    </row>
    <row r="187" spans="1:29" s="409" customFormat="1" ht="15" customHeight="1" x14ac:dyDescent="0.25"/>
    <row r="188" spans="1:29" ht="15" customHeight="1" x14ac:dyDescent="0.25">
      <c r="A188" s="415" t="s">
        <v>123</v>
      </c>
      <c r="B188" s="415"/>
      <c r="C188" s="415"/>
      <c r="D188" s="415"/>
      <c r="E188" s="415"/>
      <c r="F188" s="415"/>
      <c r="G188" s="415"/>
      <c r="H188" s="415"/>
      <c r="I188" s="415"/>
      <c r="J188" s="415"/>
      <c r="K188" s="415"/>
      <c r="L188" s="415"/>
      <c r="M188" s="415"/>
      <c r="N188" s="415"/>
      <c r="O188" s="415"/>
      <c r="P188" s="415"/>
      <c r="Q188" s="415"/>
      <c r="R188" s="415"/>
      <c r="S188" s="415"/>
      <c r="T188" s="415"/>
      <c r="U188" s="415"/>
      <c r="V188" s="415"/>
      <c r="W188" s="415"/>
      <c r="X188" s="415"/>
      <c r="Y188" s="415"/>
      <c r="Z188" s="181"/>
      <c r="AA188" s="181"/>
      <c r="AB188" s="181"/>
      <c r="AC188" s="181"/>
    </row>
    <row r="189" spans="1:29" ht="21" customHeight="1" x14ac:dyDescent="0.25">
      <c r="A189" s="428" t="s">
        <v>124</v>
      </c>
      <c r="B189" s="429"/>
      <c r="C189" s="428" t="s">
        <v>14</v>
      </c>
      <c r="D189" s="429"/>
      <c r="E189" s="384" t="s">
        <v>31</v>
      </c>
      <c r="F189" s="384"/>
      <c r="G189" s="384"/>
      <c r="H189" s="384"/>
      <c r="I189" s="384"/>
      <c r="J189" s="384" t="s">
        <v>32</v>
      </c>
      <c r="K189" s="384"/>
      <c r="L189" s="384"/>
      <c r="M189" s="384"/>
      <c r="N189" s="384"/>
      <c r="O189" s="384" t="s">
        <v>33</v>
      </c>
      <c r="P189" s="384"/>
      <c r="Q189" s="384"/>
      <c r="R189" s="384"/>
      <c r="S189" s="384"/>
      <c r="T189" s="384" t="s">
        <v>34</v>
      </c>
      <c r="U189" s="384"/>
      <c r="V189" s="384"/>
      <c r="W189" s="384"/>
      <c r="X189" s="384"/>
      <c r="Y189" s="388" t="s">
        <v>17</v>
      </c>
      <c r="Z189" s="181"/>
      <c r="AA189" s="181"/>
      <c r="AB189" s="181"/>
      <c r="AC189" s="181"/>
    </row>
    <row r="190" spans="1:29" ht="21" customHeight="1" x14ac:dyDescent="0.25">
      <c r="A190" s="430"/>
      <c r="B190" s="431"/>
      <c r="C190" s="430"/>
      <c r="D190" s="431"/>
      <c r="E190" s="416" t="s">
        <v>37</v>
      </c>
      <c r="F190" s="416"/>
      <c r="G190" s="416"/>
      <c r="H190" s="416"/>
      <c r="I190" s="416"/>
      <c r="J190" s="416" t="s">
        <v>37</v>
      </c>
      <c r="K190" s="416"/>
      <c r="L190" s="416"/>
      <c r="M190" s="416"/>
      <c r="N190" s="416"/>
      <c r="O190" s="416" t="s">
        <v>37</v>
      </c>
      <c r="P190" s="416"/>
      <c r="Q190" s="416"/>
      <c r="R190" s="416"/>
      <c r="S190" s="416"/>
      <c r="T190" s="388" t="s">
        <v>37</v>
      </c>
      <c r="U190" s="388"/>
      <c r="V190" s="388"/>
      <c r="W190" s="388"/>
      <c r="X190" s="388"/>
      <c r="Y190" s="388"/>
      <c r="Z190" s="181"/>
      <c r="AA190" s="181"/>
      <c r="AB190" s="181"/>
      <c r="AC190" s="181"/>
    </row>
    <row r="191" spans="1:29" ht="21" customHeight="1" x14ac:dyDescent="0.25">
      <c r="A191" s="432"/>
      <c r="B191" s="433"/>
      <c r="C191" s="432"/>
      <c r="D191" s="433"/>
      <c r="E191" s="394" t="s">
        <v>70</v>
      </c>
      <c r="F191" s="396"/>
      <c r="G191" s="394" t="s">
        <v>7</v>
      </c>
      <c r="H191" s="395"/>
      <c r="I191" s="396"/>
      <c r="J191" s="394" t="s">
        <v>70</v>
      </c>
      <c r="K191" s="396"/>
      <c r="L191" s="394" t="s">
        <v>7</v>
      </c>
      <c r="M191" s="395"/>
      <c r="N191" s="396"/>
      <c r="O191" s="394" t="s">
        <v>70</v>
      </c>
      <c r="P191" s="396"/>
      <c r="Q191" s="394" t="s">
        <v>7</v>
      </c>
      <c r="R191" s="395"/>
      <c r="S191" s="396"/>
      <c r="T191" s="394" t="s">
        <v>70</v>
      </c>
      <c r="U191" s="396"/>
      <c r="V191" s="394" t="s">
        <v>7</v>
      </c>
      <c r="W191" s="395"/>
      <c r="X191" s="396"/>
      <c r="Y191" s="169"/>
      <c r="Z191" s="181"/>
      <c r="AA191" s="181"/>
      <c r="AB191" s="181"/>
      <c r="AC191" s="181"/>
    </row>
    <row r="192" spans="1:29" ht="24" x14ac:dyDescent="0.25">
      <c r="A192" s="169" t="s">
        <v>125</v>
      </c>
      <c r="B192" s="173" t="s">
        <v>126</v>
      </c>
      <c r="C192" s="173" t="s">
        <v>127</v>
      </c>
      <c r="D192" s="169" t="s">
        <v>7</v>
      </c>
      <c r="E192" s="417">
        <v>8</v>
      </c>
      <c r="F192" s="418"/>
      <c r="G192" s="394">
        <f>E192*10</f>
        <v>80</v>
      </c>
      <c r="H192" s="395"/>
      <c r="I192" s="396"/>
      <c r="J192" s="394">
        <v>8</v>
      </c>
      <c r="K192" s="396"/>
      <c r="L192" s="394">
        <f>J192*10</f>
        <v>80</v>
      </c>
      <c r="M192" s="395"/>
      <c r="N192" s="396"/>
      <c r="O192" s="394">
        <v>10</v>
      </c>
      <c r="P192" s="396"/>
      <c r="Q192" s="394">
        <f>O192*10</f>
        <v>100</v>
      </c>
      <c r="R192" s="395"/>
      <c r="S192" s="396"/>
      <c r="T192" s="394">
        <v>8</v>
      </c>
      <c r="U192" s="396"/>
      <c r="V192" s="394">
        <f>T192*10</f>
        <v>80</v>
      </c>
      <c r="W192" s="395"/>
      <c r="X192" s="396"/>
      <c r="Y192" s="169">
        <f>G192+L192+Q192+V192</f>
        <v>340</v>
      </c>
      <c r="Z192" s="181"/>
      <c r="AA192" s="181"/>
      <c r="AB192" s="181"/>
      <c r="AC192" s="181"/>
    </row>
    <row r="193" spans="1:29" ht="60.75" customHeight="1" x14ac:dyDescent="0.25">
      <c r="A193" s="416" t="s">
        <v>128</v>
      </c>
      <c r="B193" s="426" t="s">
        <v>129</v>
      </c>
      <c r="C193" s="426" t="s">
        <v>127</v>
      </c>
      <c r="D193" s="173">
        <v>10</v>
      </c>
      <c r="E193" s="398">
        <v>5</v>
      </c>
      <c r="F193" s="400"/>
      <c r="G193" s="394">
        <f t="shared" ref="G193:G206" si="18">E193*10</f>
        <v>50</v>
      </c>
      <c r="H193" s="395"/>
      <c r="I193" s="396"/>
      <c r="J193" s="394">
        <v>1</v>
      </c>
      <c r="K193" s="396"/>
      <c r="L193" s="394">
        <f t="shared" ref="L193:L206" si="19">J193*10</f>
        <v>10</v>
      </c>
      <c r="M193" s="395"/>
      <c r="N193" s="396"/>
      <c r="O193" s="394">
        <v>3</v>
      </c>
      <c r="P193" s="396"/>
      <c r="Q193" s="394">
        <v>0</v>
      </c>
      <c r="R193" s="395"/>
      <c r="S193" s="396"/>
      <c r="T193" s="394">
        <v>2</v>
      </c>
      <c r="U193" s="396"/>
      <c r="V193" s="394">
        <f t="shared" ref="V193:V206" si="20">T193*10</f>
        <v>20</v>
      </c>
      <c r="W193" s="395"/>
      <c r="X193" s="396"/>
      <c r="Y193" s="169">
        <f t="shared" ref="Y193:Y207" si="21">G193+L193+Q193+V193</f>
        <v>80</v>
      </c>
      <c r="Z193" s="181"/>
      <c r="AA193" s="181"/>
      <c r="AB193" s="181"/>
      <c r="AC193" s="181"/>
    </row>
    <row r="194" spans="1:29" ht="60.75" customHeight="1" x14ac:dyDescent="0.25">
      <c r="A194" s="425"/>
      <c r="B194" s="427"/>
      <c r="C194" s="427"/>
      <c r="D194" s="173">
        <v>-1</v>
      </c>
      <c r="E194" s="398">
        <v>2</v>
      </c>
      <c r="F194" s="400"/>
      <c r="G194" s="394">
        <f>E193*10+E194*(-1)</f>
        <v>48</v>
      </c>
      <c r="H194" s="395"/>
      <c r="I194" s="396"/>
      <c r="J194" s="394"/>
      <c r="K194" s="396"/>
      <c r="L194" s="394">
        <f>J193*10+J194*(-1)</f>
        <v>10</v>
      </c>
      <c r="M194" s="395"/>
      <c r="N194" s="396"/>
      <c r="O194" s="394"/>
      <c r="P194" s="396"/>
      <c r="Q194" s="394">
        <f>O193*10+O194*(-1)</f>
        <v>30</v>
      </c>
      <c r="R194" s="395"/>
      <c r="S194" s="396"/>
      <c r="T194" s="394"/>
      <c r="U194" s="396"/>
      <c r="V194" s="394">
        <f>T193*10+T194*(-1)</f>
        <v>20</v>
      </c>
      <c r="W194" s="395"/>
      <c r="X194" s="396"/>
      <c r="Y194" s="169">
        <f t="shared" si="21"/>
        <v>108</v>
      </c>
      <c r="Z194" s="181"/>
      <c r="AA194" s="181"/>
      <c r="AB194" s="181"/>
      <c r="AC194" s="181"/>
    </row>
    <row r="195" spans="1:29" ht="50.25" customHeight="1" x14ac:dyDescent="0.25">
      <c r="A195" s="169" t="s">
        <v>130</v>
      </c>
      <c r="B195" s="173" t="s">
        <v>131</v>
      </c>
      <c r="C195" s="173"/>
      <c r="D195" s="173">
        <v>10</v>
      </c>
      <c r="E195" s="398">
        <v>0</v>
      </c>
      <c r="F195" s="400"/>
      <c r="G195" s="394">
        <f t="shared" si="18"/>
        <v>0</v>
      </c>
      <c r="H195" s="395"/>
      <c r="I195" s="396"/>
      <c r="J195" s="394">
        <v>2</v>
      </c>
      <c r="K195" s="396"/>
      <c r="L195" s="394">
        <f t="shared" si="19"/>
        <v>20</v>
      </c>
      <c r="M195" s="395"/>
      <c r="N195" s="396"/>
      <c r="O195" s="394">
        <v>1</v>
      </c>
      <c r="P195" s="396"/>
      <c r="Q195" s="394">
        <f t="shared" ref="Q195:Q206" si="22">O195*10</f>
        <v>10</v>
      </c>
      <c r="R195" s="395"/>
      <c r="S195" s="396"/>
      <c r="T195" s="394">
        <v>0</v>
      </c>
      <c r="U195" s="396"/>
      <c r="V195" s="394">
        <f t="shared" si="20"/>
        <v>0</v>
      </c>
      <c r="W195" s="395"/>
      <c r="X195" s="396"/>
      <c r="Y195" s="169">
        <f t="shared" si="21"/>
        <v>30</v>
      </c>
      <c r="Z195" s="181"/>
      <c r="AA195" s="181"/>
      <c r="AB195" s="181"/>
      <c r="AC195" s="181"/>
    </row>
    <row r="196" spans="1:29" ht="61.5" customHeight="1" x14ac:dyDescent="0.25">
      <c r="A196" s="169" t="s">
        <v>132</v>
      </c>
      <c r="B196" s="173" t="s">
        <v>133</v>
      </c>
      <c r="C196" s="173"/>
      <c r="D196" s="173">
        <v>10</v>
      </c>
      <c r="E196" s="398">
        <v>2</v>
      </c>
      <c r="F196" s="400"/>
      <c r="G196" s="394">
        <f t="shared" si="18"/>
        <v>20</v>
      </c>
      <c r="H196" s="395"/>
      <c r="I196" s="396"/>
      <c r="J196" s="394">
        <v>2</v>
      </c>
      <c r="K196" s="396"/>
      <c r="L196" s="394">
        <f t="shared" si="19"/>
        <v>20</v>
      </c>
      <c r="M196" s="395"/>
      <c r="N196" s="396"/>
      <c r="O196" s="394">
        <v>1</v>
      </c>
      <c r="P196" s="396"/>
      <c r="Q196" s="394">
        <f t="shared" si="22"/>
        <v>10</v>
      </c>
      <c r="R196" s="395"/>
      <c r="S196" s="396"/>
      <c r="T196" s="394">
        <v>1</v>
      </c>
      <c r="U196" s="396"/>
      <c r="V196" s="394">
        <f t="shared" si="20"/>
        <v>10</v>
      </c>
      <c r="W196" s="395"/>
      <c r="X196" s="396"/>
      <c r="Y196" s="169">
        <f t="shared" si="21"/>
        <v>60</v>
      </c>
      <c r="Z196" s="181"/>
      <c r="AA196" s="181"/>
      <c r="AB196" s="181"/>
      <c r="AC196" s="181"/>
    </row>
    <row r="197" spans="1:29" ht="53.25" customHeight="1" x14ac:dyDescent="0.25">
      <c r="A197" s="169" t="s">
        <v>134</v>
      </c>
      <c r="B197" s="173" t="s">
        <v>135</v>
      </c>
      <c r="C197" s="173"/>
      <c r="D197" s="173">
        <v>10</v>
      </c>
      <c r="E197" s="398">
        <v>1</v>
      </c>
      <c r="F197" s="400"/>
      <c r="G197" s="394">
        <f t="shared" si="18"/>
        <v>10</v>
      </c>
      <c r="H197" s="395"/>
      <c r="I197" s="396"/>
      <c r="J197" s="394">
        <v>1</v>
      </c>
      <c r="K197" s="396"/>
      <c r="L197" s="394">
        <f t="shared" si="19"/>
        <v>10</v>
      </c>
      <c r="M197" s="395"/>
      <c r="N197" s="396"/>
      <c r="O197" s="394">
        <v>1</v>
      </c>
      <c r="P197" s="396"/>
      <c r="Q197" s="394">
        <f t="shared" si="22"/>
        <v>10</v>
      </c>
      <c r="R197" s="395"/>
      <c r="S197" s="396"/>
      <c r="T197" s="394">
        <v>1</v>
      </c>
      <c r="U197" s="396"/>
      <c r="V197" s="394">
        <f t="shared" si="20"/>
        <v>10</v>
      </c>
      <c r="W197" s="395"/>
      <c r="X197" s="396"/>
      <c r="Y197" s="169">
        <f t="shared" si="21"/>
        <v>40</v>
      </c>
      <c r="Z197" s="181"/>
      <c r="AA197" s="181"/>
      <c r="AB197" s="181"/>
      <c r="AC197" s="181"/>
    </row>
    <row r="198" spans="1:29" ht="17.25" customHeight="1" x14ac:dyDescent="0.25">
      <c r="A198" s="388" t="s">
        <v>136</v>
      </c>
      <c r="B198" s="393" t="s">
        <v>137</v>
      </c>
      <c r="C198" s="169" t="s">
        <v>138</v>
      </c>
      <c r="D198" s="169">
        <v>0</v>
      </c>
      <c r="E198" s="394">
        <v>0</v>
      </c>
      <c r="F198" s="396"/>
      <c r="G198" s="394">
        <f>E198*0</f>
        <v>0</v>
      </c>
      <c r="H198" s="395"/>
      <c r="I198" s="396"/>
      <c r="J198" s="394">
        <v>0</v>
      </c>
      <c r="K198" s="396"/>
      <c r="L198" s="394">
        <f>J198*0</f>
        <v>0</v>
      </c>
      <c r="M198" s="395"/>
      <c r="N198" s="396"/>
      <c r="O198" s="394">
        <v>0</v>
      </c>
      <c r="P198" s="396"/>
      <c r="Q198" s="394">
        <f>O198*0</f>
        <v>0</v>
      </c>
      <c r="R198" s="395"/>
      <c r="S198" s="396"/>
      <c r="T198" s="394">
        <v>0</v>
      </c>
      <c r="U198" s="396"/>
      <c r="V198" s="394">
        <f>T198*0</f>
        <v>0</v>
      </c>
      <c r="W198" s="395"/>
      <c r="X198" s="396"/>
      <c r="Y198" s="169">
        <f t="shared" si="21"/>
        <v>0</v>
      </c>
      <c r="Z198" s="181"/>
      <c r="AA198" s="181"/>
      <c r="AB198" s="181"/>
      <c r="AC198" s="181"/>
    </row>
    <row r="199" spans="1:29" x14ac:dyDescent="0.25">
      <c r="A199" s="388"/>
      <c r="B199" s="393"/>
      <c r="C199" s="169" t="s">
        <v>139</v>
      </c>
      <c r="D199" s="169">
        <v>5</v>
      </c>
      <c r="E199" s="394">
        <v>1</v>
      </c>
      <c r="F199" s="396"/>
      <c r="G199" s="394">
        <f>E199*5</f>
        <v>5</v>
      </c>
      <c r="H199" s="395"/>
      <c r="I199" s="396"/>
      <c r="J199" s="394">
        <v>1</v>
      </c>
      <c r="K199" s="396"/>
      <c r="L199" s="394">
        <f>J199*5</f>
        <v>5</v>
      </c>
      <c r="M199" s="395"/>
      <c r="N199" s="396"/>
      <c r="O199" s="394">
        <v>0</v>
      </c>
      <c r="P199" s="396"/>
      <c r="Q199" s="394">
        <f>O199*5</f>
        <v>0</v>
      </c>
      <c r="R199" s="395"/>
      <c r="S199" s="396"/>
      <c r="T199" s="394">
        <v>1</v>
      </c>
      <c r="U199" s="396"/>
      <c r="V199" s="394">
        <f>T199*5</f>
        <v>5</v>
      </c>
      <c r="W199" s="395"/>
      <c r="X199" s="396"/>
      <c r="Y199" s="169">
        <f t="shared" si="21"/>
        <v>15</v>
      </c>
      <c r="Z199" s="181"/>
      <c r="AA199" s="181"/>
      <c r="AB199" s="181"/>
      <c r="AC199" s="181"/>
    </row>
    <row r="200" spans="1:29" x14ac:dyDescent="0.25">
      <c r="A200" s="388"/>
      <c r="B200" s="393"/>
      <c r="C200" s="169" t="s">
        <v>140</v>
      </c>
      <c r="D200" s="169">
        <v>10</v>
      </c>
      <c r="E200" s="394"/>
      <c r="F200" s="396"/>
      <c r="G200" s="394">
        <f t="shared" si="18"/>
        <v>0</v>
      </c>
      <c r="H200" s="395"/>
      <c r="I200" s="396"/>
      <c r="J200" s="394"/>
      <c r="K200" s="396"/>
      <c r="L200" s="394">
        <f t="shared" si="19"/>
        <v>0</v>
      </c>
      <c r="M200" s="395"/>
      <c r="N200" s="396"/>
      <c r="O200" s="394"/>
      <c r="P200" s="396"/>
      <c r="Q200" s="394">
        <f t="shared" si="22"/>
        <v>0</v>
      </c>
      <c r="R200" s="395"/>
      <c r="S200" s="396"/>
      <c r="T200" s="394"/>
      <c r="U200" s="396"/>
      <c r="V200" s="394">
        <f t="shared" si="20"/>
        <v>0</v>
      </c>
      <c r="W200" s="395"/>
      <c r="X200" s="396"/>
      <c r="Y200" s="169">
        <f t="shared" si="21"/>
        <v>0</v>
      </c>
      <c r="Z200" s="181"/>
      <c r="AA200" s="181"/>
      <c r="AB200" s="181"/>
      <c r="AC200" s="181"/>
    </row>
    <row r="201" spans="1:29" ht="21.75" customHeight="1" x14ac:dyDescent="0.25">
      <c r="A201" s="388"/>
      <c r="B201" s="393"/>
      <c r="C201" s="169" t="s">
        <v>141</v>
      </c>
      <c r="D201" s="169">
        <v>15</v>
      </c>
      <c r="E201" s="394"/>
      <c r="F201" s="396"/>
      <c r="G201" s="394">
        <f>E201*15</f>
        <v>0</v>
      </c>
      <c r="H201" s="395"/>
      <c r="I201" s="396"/>
      <c r="J201" s="394">
        <v>0</v>
      </c>
      <c r="K201" s="396"/>
      <c r="L201" s="394">
        <f>J201*15</f>
        <v>0</v>
      </c>
      <c r="M201" s="395"/>
      <c r="N201" s="396"/>
      <c r="O201" s="394">
        <v>0</v>
      </c>
      <c r="P201" s="396"/>
      <c r="Q201" s="394">
        <f>O201*15</f>
        <v>0</v>
      </c>
      <c r="R201" s="395"/>
      <c r="S201" s="396"/>
      <c r="T201" s="394">
        <v>0</v>
      </c>
      <c r="U201" s="396"/>
      <c r="V201" s="394">
        <f>T201*15</f>
        <v>0</v>
      </c>
      <c r="W201" s="395"/>
      <c r="X201" s="396"/>
      <c r="Y201" s="169">
        <f t="shared" si="21"/>
        <v>0</v>
      </c>
      <c r="Z201" s="181"/>
      <c r="AA201" s="181"/>
      <c r="AB201" s="181"/>
      <c r="AC201" s="181"/>
    </row>
    <row r="202" spans="1:29" ht="39.75" customHeight="1" x14ac:dyDescent="0.25">
      <c r="A202" s="169" t="s">
        <v>142</v>
      </c>
      <c r="B202" s="188" t="s">
        <v>143</v>
      </c>
      <c r="C202" s="173"/>
      <c r="D202" s="188">
        <v>10</v>
      </c>
      <c r="E202" s="394">
        <v>1</v>
      </c>
      <c r="F202" s="396"/>
      <c r="G202" s="394">
        <f t="shared" si="18"/>
        <v>10</v>
      </c>
      <c r="H202" s="395"/>
      <c r="I202" s="396"/>
      <c r="J202" s="394">
        <v>0</v>
      </c>
      <c r="K202" s="396"/>
      <c r="L202" s="394">
        <f t="shared" si="19"/>
        <v>0</v>
      </c>
      <c r="M202" s="395"/>
      <c r="N202" s="396"/>
      <c r="O202" s="394">
        <v>0</v>
      </c>
      <c r="P202" s="396"/>
      <c r="Q202" s="394">
        <f t="shared" si="22"/>
        <v>0</v>
      </c>
      <c r="R202" s="395"/>
      <c r="S202" s="396"/>
      <c r="T202" s="394">
        <v>0</v>
      </c>
      <c r="U202" s="396"/>
      <c r="V202" s="394">
        <f t="shared" si="20"/>
        <v>0</v>
      </c>
      <c r="W202" s="395"/>
      <c r="X202" s="396"/>
      <c r="Y202" s="169">
        <f t="shared" si="21"/>
        <v>10</v>
      </c>
      <c r="Z202" s="181"/>
      <c r="AA202" s="181"/>
      <c r="AB202" s="181"/>
      <c r="AC202" s="181"/>
    </row>
    <row r="203" spans="1:29" ht="24.75" customHeight="1" x14ac:dyDescent="0.25">
      <c r="A203" s="416" t="s">
        <v>144</v>
      </c>
      <c r="B203" s="426" t="s">
        <v>145</v>
      </c>
      <c r="C203" s="426" t="s">
        <v>146</v>
      </c>
      <c r="D203" s="173">
        <v>10</v>
      </c>
      <c r="E203" s="394">
        <v>1</v>
      </c>
      <c r="F203" s="396"/>
      <c r="G203" s="394">
        <f t="shared" si="18"/>
        <v>10</v>
      </c>
      <c r="H203" s="395"/>
      <c r="I203" s="396"/>
      <c r="J203" s="394">
        <v>1</v>
      </c>
      <c r="K203" s="396"/>
      <c r="L203" s="394">
        <f t="shared" si="19"/>
        <v>10</v>
      </c>
      <c r="M203" s="395"/>
      <c r="N203" s="396"/>
      <c r="O203" s="394">
        <v>1</v>
      </c>
      <c r="P203" s="396"/>
      <c r="Q203" s="394">
        <f t="shared" si="22"/>
        <v>10</v>
      </c>
      <c r="R203" s="395"/>
      <c r="S203" s="396"/>
      <c r="T203" s="394">
        <v>1</v>
      </c>
      <c r="U203" s="396"/>
      <c r="V203" s="394">
        <f t="shared" si="20"/>
        <v>10</v>
      </c>
      <c r="W203" s="395"/>
      <c r="X203" s="396"/>
      <c r="Y203" s="169">
        <f t="shared" si="21"/>
        <v>40</v>
      </c>
      <c r="Z203" s="181"/>
      <c r="AA203" s="181"/>
      <c r="AB203" s="181"/>
      <c r="AC203" s="181"/>
    </row>
    <row r="204" spans="1:29" ht="24.75" customHeight="1" x14ac:dyDescent="0.25">
      <c r="A204" s="425"/>
      <c r="B204" s="427"/>
      <c r="C204" s="427"/>
      <c r="D204" s="173">
        <v>-1</v>
      </c>
      <c r="E204" s="394"/>
      <c r="F204" s="396"/>
      <c r="G204" s="394">
        <f>E203*10+E204*(-1)</f>
        <v>10</v>
      </c>
      <c r="H204" s="395"/>
      <c r="I204" s="396"/>
      <c r="J204" s="394"/>
      <c r="K204" s="396"/>
      <c r="L204" s="394">
        <f>J203*10+J204*(-1)</f>
        <v>10</v>
      </c>
      <c r="M204" s="395"/>
      <c r="N204" s="396"/>
      <c r="O204" s="394"/>
      <c r="P204" s="396"/>
      <c r="Q204" s="394">
        <f>O203*10+O204*(-1)</f>
        <v>10</v>
      </c>
      <c r="R204" s="395"/>
      <c r="S204" s="396"/>
      <c r="T204" s="394"/>
      <c r="U204" s="396"/>
      <c r="V204" s="394">
        <f>T203*10+T204*(-1)</f>
        <v>10</v>
      </c>
      <c r="W204" s="395"/>
      <c r="X204" s="396"/>
      <c r="Y204" s="169">
        <f>V204+Q204+L204+G204</f>
        <v>40</v>
      </c>
      <c r="Z204" s="181"/>
      <c r="AA204" s="181"/>
      <c r="AB204" s="181"/>
      <c r="AC204" s="181"/>
    </row>
    <row r="205" spans="1:29" ht="39.75" customHeight="1" x14ac:dyDescent="0.25">
      <c r="A205" s="169" t="s">
        <v>147</v>
      </c>
      <c r="B205" s="173" t="s">
        <v>148</v>
      </c>
      <c r="C205" s="173"/>
      <c r="D205" s="173">
        <v>100</v>
      </c>
      <c r="E205" s="394">
        <v>1</v>
      </c>
      <c r="F205" s="396"/>
      <c r="G205" s="394">
        <f>E205*100</f>
        <v>100</v>
      </c>
      <c r="H205" s="395"/>
      <c r="I205" s="396"/>
      <c r="J205" s="394">
        <v>1</v>
      </c>
      <c r="K205" s="396"/>
      <c r="L205" s="394">
        <f>J205*100</f>
        <v>100</v>
      </c>
      <c r="M205" s="395"/>
      <c r="N205" s="396"/>
      <c r="O205" s="394">
        <v>1</v>
      </c>
      <c r="P205" s="396"/>
      <c r="Q205" s="394">
        <f>O205*100</f>
        <v>100</v>
      </c>
      <c r="R205" s="395"/>
      <c r="S205" s="396"/>
      <c r="T205" s="394">
        <v>1</v>
      </c>
      <c r="U205" s="396"/>
      <c r="V205" s="394">
        <f>T205*100</f>
        <v>100</v>
      </c>
      <c r="W205" s="395"/>
      <c r="X205" s="396"/>
      <c r="Y205" s="169">
        <f t="shared" si="21"/>
        <v>400</v>
      </c>
      <c r="Z205" s="181"/>
      <c r="AA205" s="181"/>
      <c r="AB205" s="181"/>
      <c r="AC205" s="181"/>
    </row>
    <row r="206" spans="1:29" ht="48" customHeight="1" x14ac:dyDescent="0.25">
      <c r="A206" s="416" t="s">
        <v>149</v>
      </c>
      <c r="B206" s="426" t="s">
        <v>150</v>
      </c>
      <c r="C206" s="426" t="s">
        <v>146</v>
      </c>
      <c r="D206" s="169">
        <v>10</v>
      </c>
      <c r="E206" s="388">
        <v>1</v>
      </c>
      <c r="F206" s="388"/>
      <c r="G206" s="388">
        <f t="shared" si="18"/>
        <v>10</v>
      </c>
      <c r="H206" s="388"/>
      <c r="I206" s="388"/>
      <c r="J206" s="388">
        <v>1</v>
      </c>
      <c r="K206" s="388"/>
      <c r="L206" s="388">
        <f t="shared" si="19"/>
        <v>10</v>
      </c>
      <c r="M206" s="388"/>
      <c r="N206" s="388"/>
      <c r="O206" s="388">
        <v>1</v>
      </c>
      <c r="P206" s="388"/>
      <c r="Q206" s="388">
        <f t="shared" si="22"/>
        <v>10</v>
      </c>
      <c r="R206" s="388"/>
      <c r="S206" s="388"/>
      <c r="T206" s="388">
        <v>1</v>
      </c>
      <c r="U206" s="388"/>
      <c r="V206" s="388">
        <f t="shared" si="20"/>
        <v>10</v>
      </c>
      <c r="W206" s="388"/>
      <c r="X206" s="388"/>
      <c r="Y206" s="169">
        <f t="shared" si="21"/>
        <v>40</v>
      </c>
      <c r="Z206" s="181"/>
      <c r="AA206" s="181"/>
      <c r="AB206" s="181"/>
      <c r="AC206" s="181"/>
    </row>
    <row r="207" spans="1:29" x14ac:dyDescent="0.25">
      <c r="A207" s="425"/>
      <c r="B207" s="427"/>
      <c r="C207" s="427"/>
      <c r="D207" s="169">
        <v>-1</v>
      </c>
      <c r="E207" s="394">
        <v>2</v>
      </c>
      <c r="F207" s="396"/>
      <c r="G207" s="394">
        <f>E206*10+E207*(-1)</f>
        <v>8</v>
      </c>
      <c r="H207" s="395"/>
      <c r="I207" s="396"/>
      <c r="J207" s="394">
        <v>3</v>
      </c>
      <c r="K207" s="396"/>
      <c r="L207" s="394">
        <f>J206*10+J207*(-1)</f>
        <v>7</v>
      </c>
      <c r="M207" s="395"/>
      <c r="N207" s="396"/>
      <c r="O207" s="394">
        <v>4</v>
      </c>
      <c r="P207" s="396"/>
      <c r="Q207" s="394">
        <f>O206*10+O207*(-1)</f>
        <v>6</v>
      </c>
      <c r="R207" s="395"/>
      <c r="S207" s="396"/>
      <c r="T207" s="394">
        <v>5</v>
      </c>
      <c r="U207" s="396"/>
      <c r="V207" s="394">
        <f>T206*10+T207*(-1)</f>
        <v>5</v>
      </c>
      <c r="W207" s="395"/>
      <c r="X207" s="396"/>
      <c r="Y207" s="169">
        <f t="shared" si="21"/>
        <v>26</v>
      </c>
      <c r="Z207" s="181"/>
      <c r="AA207" s="181"/>
      <c r="AB207" s="181"/>
      <c r="AC207" s="181"/>
    </row>
    <row r="208" spans="1:29" ht="15" customHeight="1" x14ac:dyDescent="0.25">
      <c r="A208" s="420" t="s">
        <v>151</v>
      </c>
      <c r="B208" s="420"/>
      <c r="C208" s="420"/>
      <c r="D208" s="420"/>
      <c r="E208" s="420"/>
      <c r="F208" s="420"/>
      <c r="G208" s="420"/>
      <c r="H208" s="420"/>
      <c r="I208" s="420"/>
      <c r="J208" s="420"/>
      <c r="K208" s="420"/>
      <c r="L208" s="420"/>
      <c r="M208" s="420"/>
      <c r="N208" s="420"/>
      <c r="O208" s="420"/>
      <c r="P208" s="420"/>
      <c r="Q208" s="420"/>
      <c r="R208" s="420"/>
      <c r="S208" s="420"/>
      <c r="T208" s="420"/>
      <c r="U208" s="420"/>
      <c r="V208" s="420"/>
      <c r="W208" s="420"/>
      <c r="X208" s="420"/>
      <c r="Y208" s="190">
        <f>Y192+Y194+Y195+Y196+Y197+Y198+Y199+Y200+Y201+Y202+Y204+Y205+Y207</f>
        <v>1069</v>
      </c>
    </row>
    <row r="209" spans="1:25" ht="15" customHeight="1" x14ac:dyDescent="0.25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</row>
    <row r="210" spans="1:25" ht="27" customHeight="1" x14ac:dyDescent="0.25">
      <c r="A210" s="421" t="s">
        <v>152</v>
      </c>
      <c r="B210" s="422"/>
      <c r="C210" s="422"/>
      <c r="D210" s="422"/>
      <c r="E210" s="422"/>
      <c r="F210" s="422"/>
      <c r="G210" s="422"/>
      <c r="H210" s="422"/>
      <c r="I210" s="422"/>
      <c r="J210" s="422"/>
      <c r="K210" s="422"/>
      <c r="L210" s="422"/>
      <c r="M210" s="422"/>
      <c r="N210" s="422"/>
      <c r="O210" s="422"/>
      <c r="P210" s="422"/>
      <c r="Q210" s="422"/>
      <c r="R210" s="422"/>
      <c r="S210" s="422"/>
      <c r="T210" s="422"/>
      <c r="U210" s="422"/>
      <c r="V210" s="422"/>
      <c r="W210" s="422"/>
      <c r="X210" s="423"/>
      <c r="Y210" s="191">
        <f>Y38+X186+Y208</f>
        <v>7565.55</v>
      </c>
    </row>
  </sheetData>
  <mergeCells count="987">
    <mergeCell ref="Z8:Z11"/>
    <mergeCell ref="Z12:Z15"/>
    <mergeCell ref="AA8:AA11"/>
    <mergeCell ref="AA12:AA15"/>
    <mergeCell ref="AB8:AB11"/>
    <mergeCell ref="AB12:AB15"/>
    <mergeCell ref="AC8:AC15"/>
    <mergeCell ref="B5:D6"/>
    <mergeCell ref="A26:B27"/>
    <mergeCell ref="C26:D27"/>
    <mergeCell ref="C17:D18"/>
    <mergeCell ref="N8:N11"/>
    <mergeCell ref="N12:N15"/>
    <mergeCell ref="N19:N24"/>
    <mergeCell ref="B19:B24"/>
    <mergeCell ref="C23:D23"/>
    <mergeCell ref="C24:D24"/>
    <mergeCell ref="A25:X25"/>
    <mergeCell ref="E26:I26"/>
    <mergeCell ref="J26:N26"/>
    <mergeCell ref="O26:S26"/>
    <mergeCell ref="T26:X26"/>
    <mergeCell ref="E27:I27"/>
    <mergeCell ref="J27:N27"/>
    <mergeCell ref="X109:X113"/>
    <mergeCell ref="X117:X121"/>
    <mergeCell ref="X125:X129"/>
    <mergeCell ref="X133:X137"/>
    <mergeCell ref="X144:X148"/>
    <mergeCell ref="X153:X159"/>
    <mergeCell ref="X171:X175"/>
    <mergeCell ref="X179:X183"/>
    <mergeCell ref="Y8:Y11"/>
    <mergeCell ref="Y12:Y15"/>
    <mergeCell ref="Y19:Y24"/>
    <mergeCell ref="Y26:Y27"/>
    <mergeCell ref="Y28:Y29"/>
    <mergeCell ref="Y30:Y31"/>
    <mergeCell ref="Y32:Y33"/>
    <mergeCell ref="Y34:Y36"/>
    <mergeCell ref="X8:X11"/>
    <mergeCell ref="X12:X15"/>
    <mergeCell ref="X19:X24"/>
    <mergeCell ref="X44:X49"/>
    <mergeCell ref="X53:X58"/>
    <mergeCell ref="X62:X67"/>
    <mergeCell ref="X71:X76"/>
    <mergeCell ref="X80:X85"/>
    <mergeCell ref="X89:X94"/>
    <mergeCell ref="S8:S11"/>
    <mergeCell ref="S12:S15"/>
    <mergeCell ref="S19:S24"/>
    <mergeCell ref="S44:S49"/>
    <mergeCell ref="S53:S58"/>
    <mergeCell ref="S62:S67"/>
    <mergeCell ref="S71:S76"/>
    <mergeCell ref="S80:S85"/>
    <mergeCell ref="S89:S94"/>
    <mergeCell ref="O87:S87"/>
    <mergeCell ref="T87:X87"/>
    <mergeCell ref="O78:S78"/>
    <mergeCell ref="T78:X78"/>
    <mergeCell ref="O69:S69"/>
    <mergeCell ref="T69:X69"/>
    <mergeCell ref="O60:S60"/>
    <mergeCell ref="T60:X60"/>
    <mergeCell ref="A37:X37"/>
    <mergeCell ref="A38:X38"/>
    <mergeCell ref="A39:XFD39"/>
    <mergeCell ref="A40:X40"/>
    <mergeCell ref="C34:D34"/>
    <mergeCell ref="E34:I34"/>
    <mergeCell ref="I8:I11"/>
    <mergeCell ref="I12:I15"/>
    <mergeCell ref="I19:I24"/>
    <mergeCell ref="I44:I49"/>
    <mergeCell ref="I53:I58"/>
    <mergeCell ref="I62:I67"/>
    <mergeCell ref="I71:I76"/>
    <mergeCell ref="I80:I85"/>
    <mergeCell ref="I89:I94"/>
    <mergeCell ref="E87:I87"/>
    <mergeCell ref="E78:I78"/>
    <mergeCell ref="E69:I69"/>
    <mergeCell ref="E60:I60"/>
    <mergeCell ref="E51:I51"/>
    <mergeCell ref="B144:B148"/>
    <mergeCell ref="B153:B159"/>
    <mergeCell ref="B171:B175"/>
    <mergeCell ref="B179:B183"/>
    <mergeCell ref="B193:B194"/>
    <mergeCell ref="B198:B201"/>
    <mergeCell ref="B203:B204"/>
    <mergeCell ref="B206:B207"/>
    <mergeCell ref="C8:C11"/>
    <mergeCell ref="C12:C15"/>
    <mergeCell ref="C193:C194"/>
    <mergeCell ref="C203:C204"/>
    <mergeCell ref="C206:C207"/>
    <mergeCell ref="A189:B191"/>
    <mergeCell ref="C189:D191"/>
    <mergeCell ref="A171:A175"/>
    <mergeCell ref="A179:A183"/>
    <mergeCell ref="A193:A194"/>
    <mergeCell ref="A198:A201"/>
    <mergeCell ref="A203:A204"/>
    <mergeCell ref="A206:A207"/>
    <mergeCell ref="B8:B11"/>
    <mergeCell ref="B12:B15"/>
    <mergeCell ref="B17:B18"/>
    <mergeCell ref="B28:B29"/>
    <mergeCell ref="B30:B31"/>
    <mergeCell ref="B32:B33"/>
    <mergeCell ref="B34:B36"/>
    <mergeCell ref="B44:B49"/>
    <mergeCell ref="B53:B58"/>
    <mergeCell ref="B62:B67"/>
    <mergeCell ref="B71:B76"/>
    <mergeCell ref="B80:B85"/>
    <mergeCell ref="A41:X41"/>
    <mergeCell ref="E42:I42"/>
    <mergeCell ref="J42:N42"/>
    <mergeCell ref="O42:S42"/>
    <mergeCell ref="T42:X42"/>
    <mergeCell ref="C43:D43"/>
    <mergeCell ref="E43:G43"/>
    <mergeCell ref="J43:L43"/>
    <mergeCell ref="O43:Q43"/>
    <mergeCell ref="T43:V43"/>
    <mergeCell ref="C36:D36"/>
    <mergeCell ref="E36:I36"/>
    <mergeCell ref="J36:N36"/>
    <mergeCell ref="O36:S36"/>
    <mergeCell ref="T36:X36"/>
    <mergeCell ref="B89:B94"/>
    <mergeCell ref="B101:B105"/>
    <mergeCell ref="B109:B113"/>
    <mergeCell ref="B117:B121"/>
    <mergeCell ref="B125:B129"/>
    <mergeCell ref="A208:X208"/>
    <mergeCell ref="A210:X210"/>
    <mergeCell ref="A5:A6"/>
    <mergeCell ref="A8:A11"/>
    <mergeCell ref="A12:A15"/>
    <mergeCell ref="A17:A18"/>
    <mergeCell ref="A19:A24"/>
    <mergeCell ref="A28:A29"/>
    <mergeCell ref="A30:A31"/>
    <mergeCell ref="A32:A33"/>
    <mergeCell ref="A34:A36"/>
    <mergeCell ref="A44:A49"/>
    <mergeCell ref="A53:A58"/>
    <mergeCell ref="A62:A67"/>
    <mergeCell ref="A71:A76"/>
    <mergeCell ref="A80:A85"/>
    <mergeCell ref="A89:A94"/>
    <mergeCell ref="A101:A105"/>
    <mergeCell ref="A109:A113"/>
    <mergeCell ref="E207:F207"/>
    <mergeCell ref="G207:I207"/>
    <mergeCell ref="J207:K207"/>
    <mergeCell ref="L207:N207"/>
    <mergeCell ref="O207:P207"/>
    <mergeCell ref="Q207:S207"/>
    <mergeCell ref="T207:U207"/>
    <mergeCell ref="V207:X207"/>
    <mergeCell ref="A117:A121"/>
    <mergeCell ref="A125:A129"/>
    <mergeCell ref="A133:A137"/>
    <mergeCell ref="A144:A148"/>
    <mergeCell ref="A153:A159"/>
    <mergeCell ref="E206:F206"/>
    <mergeCell ref="G206:I206"/>
    <mergeCell ref="J206:K206"/>
    <mergeCell ref="L206:N206"/>
    <mergeCell ref="E204:F204"/>
    <mergeCell ref="G204:I204"/>
    <mergeCell ref="J204:K204"/>
    <mergeCell ref="L204:N204"/>
    <mergeCell ref="E202:F202"/>
    <mergeCell ref="G202:I202"/>
    <mergeCell ref="J202:K202"/>
    <mergeCell ref="E205:F205"/>
    <mergeCell ref="G205:I205"/>
    <mergeCell ref="J205:K205"/>
    <mergeCell ref="L205:N205"/>
    <mergeCell ref="O205:P205"/>
    <mergeCell ref="Q205:S205"/>
    <mergeCell ref="T205:U205"/>
    <mergeCell ref="V205:X205"/>
    <mergeCell ref="O206:P206"/>
    <mergeCell ref="Q206:S206"/>
    <mergeCell ref="T206:U206"/>
    <mergeCell ref="V206:X206"/>
    <mergeCell ref="E203:F203"/>
    <mergeCell ref="G203:I203"/>
    <mergeCell ref="J203:K203"/>
    <mergeCell ref="L203:N203"/>
    <mergeCell ref="O203:P203"/>
    <mergeCell ref="Q203:S203"/>
    <mergeCell ref="T203:U203"/>
    <mergeCell ref="V203:X203"/>
    <mergeCell ref="O204:P204"/>
    <mergeCell ref="Q204:S204"/>
    <mergeCell ref="T204:U204"/>
    <mergeCell ref="V204:X204"/>
    <mergeCell ref="E201:F201"/>
    <mergeCell ref="G201:I201"/>
    <mergeCell ref="J201:K201"/>
    <mergeCell ref="L201:N201"/>
    <mergeCell ref="O201:P201"/>
    <mergeCell ref="Q201:S201"/>
    <mergeCell ref="T201:U201"/>
    <mergeCell ref="V201:X201"/>
    <mergeCell ref="O202:P202"/>
    <mergeCell ref="Q202:S202"/>
    <mergeCell ref="T202:U202"/>
    <mergeCell ref="V202:X202"/>
    <mergeCell ref="L202:N202"/>
    <mergeCell ref="E199:F199"/>
    <mergeCell ref="G199:I199"/>
    <mergeCell ref="J199:K199"/>
    <mergeCell ref="L199:N199"/>
    <mergeCell ref="O199:P199"/>
    <mergeCell ref="Q199:S199"/>
    <mergeCell ref="T199:U199"/>
    <mergeCell ref="V199:X199"/>
    <mergeCell ref="O200:P200"/>
    <mergeCell ref="Q200:S200"/>
    <mergeCell ref="T200:U200"/>
    <mergeCell ref="V200:X200"/>
    <mergeCell ref="E200:F200"/>
    <mergeCell ref="G200:I200"/>
    <mergeCell ref="J200:K200"/>
    <mergeCell ref="L200:N200"/>
    <mergeCell ref="E197:F197"/>
    <mergeCell ref="G197:I197"/>
    <mergeCell ref="J197:K197"/>
    <mergeCell ref="L197:N197"/>
    <mergeCell ref="O197:P197"/>
    <mergeCell ref="Q197:S197"/>
    <mergeCell ref="T197:U197"/>
    <mergeCell ref="V197:X197"/>
    <mergeCell ref="L198:N198"/>
    <mergeCell ref="O198:P198"/>
    <mergeCell ref="Q198:S198"/>
    <mergeCell ref="T198:U198"/>
    <mergeCell ref="V198:X198"/>
    <mergeCell ref="E198:F198"/>
    <mergeCell ref="G198:I198"/>
    <mergeCell ref="J198:K198"/>
    <mergeCell ref="E195:F195"/>
    <mergeCell ref="G195:I195"/>
    <mergeCell ref="J195:K195"/>
    <mergeCell ref="L195:N195"/>
    <mergeCell ref="O195:P195"/>
    <mergeCell ref="Q195:S195"/>
    <mergeCell ref="T195:U195"/>
    <mergeCell ref="V195:X195"/>
    <mergeCell ref="E196:F196"/>
    <mergeCell ref="G196:I196"/>
    <mergeCell ref="J196:K196"/>
    <mergeCell ref="L196:N196"/>
    <mergeCell ref="O196:P196"/>
    <mergeCell ref="Q196:S196"/>
    <mergeCell ref="T196:U196"/>
    <mergeCell ref="V196:X196"/>
    <mergeCell ref="E193:F193"/>
    <mergeCell ref="G193:I193"/>
    <mergeCell ref="J193:K193"/>
    <mergeCell ref="L193:N193"/>
    <mergeCell ref="O193:P193"/>
    <mergeCell ref="Q193:S193"/>
    <mergeCell ref="T193:U193"/>
    <mergeCell ref="V193:X193"/>
    <mergeCell ref="E194:F194"/>
    <mergeCell ref="G194:I194"/>
    <mergeCell ref="J194:K194"/>
    <mergeCell ref="L194:N194"/>
    <mergeCell ref="O194:P194"/>
    <mergeCell ref="Q194:S194"/>
    <mergeCell ref="T194:U194"/>
    <mergeCell ref="V194:X194"/>
    <mergeCell ref="E191:F191"/>
    <mergeCell ref="G191:I191"/>
    <mergeCell ref="J191:K191"/>
    <mergeCell ref="L191:N191"/>
    <mergeCell ref="O191:P191"/>
    <mergeCell ref="Q191:S191"/>
    <mergeCell ref="T191:U191"/>
    <mergeCell ref="V191:X191"/>
    <mergeCell ref="E192:F192"/>
    <mergeCell ref="G192:I192"/>
    <mergeCell ref="J192:K192"/>
    <mergeCell ref="L192:N192"/>
    <mergeCell ref="O192:P192"/>
    <mergeCell ref="Q192:S192"/>
    <mergeCell ref="T192:U192"/>
    <mergeCell ref="V192:X192"/>
    <mergeCell ref="A184:W184"/>
    <mergeCell ref="A185:W185"/>
    <mergeCell ref="A186:W186"/>
    <mergeCell ref="A187:XFD187"/>
    <mergeCell ref="A188:Y188"/>
    <mergeCell ref="E189:I189"/>
    <mergeCell ref="J189:N189"/>
    <mergeCell ref="O189:S189"/>
    <mergeCell ref="T189:X189"/>
    <mergeCell ref="Y189:Y190"/>
    <mergeCell ref="E190:I190"/>
    <mergeCell ref="J190:N190"/>
    <mergeCell ref="O190:S190"/>
    <mergeCell ref="T190:X190"/>
    <mergeCell ref="C182:D182"/>
    <mergeCell ref="E182:G182"/>
    <mergeCell ref="J182:L182"/>
    <mergeCell ref="O182:Q182"/>
    <mergeCell ref="T182:V182"/>
    <mergeCell ref="C183:D183"/>
    <mergeCell ref="E183:G183"/>
    <mergeCell ref="J183:L183"/>
    <mergeCell ref="O183:Q183"/>
    <mergeCell ref="T183:V183"/>
    <mergeCell ref="I179:I183"/>
    <mergeCell ref="N179:N183"/>
    <mergeCell ref="S179:S183"/>
    <mergeCell ref="C180:D180"/>
    <mergeCell ref="E180:G180"/>
    <mergeCell ref="J180:L180"/>
    <mergeCell ref="O180:Q180"/>
    <mergeCell ref="T180:V180"/>
    <mergeCell ref="C181:D181"/>
    <mergeCell ref="E181:G181"/>
    <mergeCell ref="J181:L181"/>
    <mergeCell ref="O181:Q181"/>
    <mergeCell ref="T181:V181"/>
    <mergeCell ref="C178:D178"/>
    <mergeCell ref="E178:G178"/>
    <mergeCell ref="J178:L178"/>
    <mergeCell ref="O178:Q178"/>
    <mergeCell ref="T178:V178"/>
    <mergeCell ref="C179:D179"/>
    <mergeCell ref="E179:G179"/>
    <mergeCell ref="J179:L179"/>
    <mergeCell ref="O179:Q179"/>
    <mergeCell ref="T179:V179"/>
    <mergeCell ref="C175:D175"/>
    <mergeCell ref="E175:G175"/>
    <mergeCell ref="J175:L175"/>
    <mergeCell ref="O175:Q175"/>
    <mergeCell ref="T175:V175"/>
    <mergeCell ref="E177:I177"/>
    <mergeCell ref="J177:N177"/>
    <mergeCell ref="O177:S177"/>
    <mergeCell ref="T177:X177"/>
    <mergeCell ref="I171:I175"/>
    <mergeCell ref="N171:N175"/>
    <mergeCell ref="S171:S175"/>
    <mergeCell ref="C173:D173"/>
    <mergeCell ref="E173:G173"/>
    <mergeCell ref="J173:L173"/>
    <mergeCell ref="O173:Q173"/>
    <mergeCell ref="T173:V173"/>
    <mergeCell ref="C174:D174"/>
    <mergeCell ref="E174:G174"/>
    <mergeCell ref="J174:L174"/>
    <mergeCell ref="O174:Q174"/>
    <mergeCell ref="T174:V174"/>
    <mergeCell ref="C171:D171"/>
    <mergeCell ref="E171:G171"/>
    <mergeCell ref="J171:L171"/>
    <mergeCell ref="O171:Q171"/>
    <mergeCell ref="T171:V171"/>
    <mergeCell ref="C172:D172"/>
    <mergeCell ref="E172:G172"/>
    <mergeCell ref="J172:L172"/>
    <mergeCell ref="O172:Q172"/>
    <mergeCell ref="T172:V172"/>
    <mergeCell ref="E169:I169"/>
    <mergeCell ref="J169:N169"/>
    <mergeCell ref="O169:S169"/>
    <mergeCell ref="T169:X169"/>
    <mergeCell ref="C170:D170"/>
    <mergeCell ref="E170:G170"/>
    <mergeCell ref="J170:L170"/>
    <mergeCell ref="O170:Q170"/>
    <mergeCell ref="T170:V170"/>
    <mergeCell ref="C167:D167"/>
    <mergeCell ref="E167:G167"/>
    <mergeCell ref="H167:I167"/>
    <mergeCell ref="J167:L167"/>
    <mergeCell ref="M167:N167"/>
    <mergeCell ref="O167:Q167"/>
    <mergeCell ref="R167:S167"/>
    <mergeCell ref="T167:V167"/>
    <mergeCell ref="W167:X167"/>
    <mergeCell ref="E165:I165"/>
    <mergeCell ref="J165:N165"/>
    <mergeCell ref="O165:S165"/>
    <mergeCell ref="T165:X165"/>
    <mergeCell ref="C166:D166"/>
    <mergeCell ref="E166:G166"/>
    <mergeCell ref="H166:I166"/>
    <mergeCell ref="J166:L166"/>
    <mergeCell ref="M166:N166"/>
    <mergeCell ref="O166:Q166"/>
    <mergeCell ref="R166:S166"/>
    <mergeCell ref="T166:V166"/>
    <mergeCell ref="W166:X166"/>
    <mergeCell ref="C163:D163"/>
    <mergeCell ref="E163:G163"/>
    <mergeCell ref="H163:I163"/>
    <mergeCell ref="J163:L163"/>
    <mergeCell ref="M163:N163"/>
    <mergeCell ref="O163:Q163"/>
    <mergeCell ref="R163:S163"/>
    <mergeCell ref="T163:V163"/>
    <mergeCell ref="W163:X163"/>
    <mergeCell ref="E161:I161"/>
    <mergeCell ref="J161:N161"/>
    <mergeCell ref="O161:S161"/>
    <mergeCell ref="T161:X161"/>
    <mergeCell ref="C162:D162"/>
    <mergeCell ref="E162:G162"/>
    <mergeCell ref="H162:I162"/>
    <mergeCell ref="J162:L162"/>
    <mergeCell ref="M162:N162"/>
    <mergeCell ref="O162:Q162"/>
    <mergeCell ref="R162:S162"/>
    <mergeCell ref="T162:V162"/>
    <mergeCell ref="W162:X162"/>
    <mergeCell ref="C158:D158"/>
    <mergeCell ref="E158:G158"/>
    <mergeCell ref="J158:L158"/>
    <mergeCell ref="O158:Q158"/>
    <mergeCell ref="T158:V158"/>
    <mergeCell ref="C159:D159"/>
    <mergeCell ref="E159:G159"/>
    <mergeCell ref="J159:L159"/>
    <mergeCell ref="O159:Q159"/>
    <mergeCell ref="T159:V159"/>
    <mergeCell ref="I153:I159"/>
    <mergeCell ref="N153:N159"/>
    <mergeCell ref="S153:S159"/>
    <mergeCell ref="C156:D156"/>
    <mergeCell ref="E156:G156"/>
    <mergeCell ref="J156:L156"/>
    <mergeCell ref="O156:Q156"/>
    <mergeCell ref="T156:V156"/>
    <mergeCell ref="C157:D157"/>
    <mergeCell ref="E157:G157"/>
    <mergeCell ref="J157:L157"/>
    <mergeCell ref="O157:Q157"/>
    <mergeCell ref="T157:V157"/>
    <mergeCell ref="C154:D154"/>
    <mergeCell ref="E154:G154"/>
    <mergeCell ref="J154:L154"/>
    <mergeCell ref="O154:Q154"/>
    <mergeCell ref="T154:V154"/>
    <mergeCell ref="C155:D155"/>
    <mergeCell ref="E155:G155"/>
    <mergeCell ref="J155:L155"/>
    <mergeCell ref="O155:Q155"/>
    <mergeCell ref="T155:V155"/>
    <mergeCell ref="C152:D152"/>
    <mergeCell ref="E152:G152"/>
    <mergeCell ref="J152:L152"/>
    <mergeCell ref="O152:Q152"/>
    <mergeCell ref="T152:V152"/>
    <mergeCell ref="C153:D153"/>
    <mergeCell ref="E153:G153"/>
    <mergeCell ref="J153:L153"/>
    <mergeCell ref="O153:Q153"/>
    <mergeCell ref="T153:V153"/>
    <mergeCell ref="C148:D148"/>
    <mergeCell ref="E148:G148"/>
    <mergeCell ref="J148:L148"/>
    <mergeCell ref="O148:Q148"/>
    <mergeCell ref="T148:V148"/>
    <mergeCell ref="E151:I151"/>
    <mergeCell ref="J151:N151"/>
    <mergeCell ref="O151:S151"/>
    <mergeCell ref="T151:X151"/>
    <mergeCell ref="I144:I148"/>
    <mergeCell ref="N144:N148"/>
    <mergeCell ref="S144:S148"/>
    <mergeCell ref="C146:D146"/>
    <mergeCell ref="E146:G146"/>
    <mergeCell ref="J146:L146"/>
    <mergeCell ref="O146:Q146"/>
    <mergeCell ref="T146:V146"/>
    <mergeCell ref="C147:D147"/>
    <mergeCell ref="E147:G147"/>
    <mergeCell ref="J147:L147"/>
    <mergeCell ref="O147:Q147"/>
    <mergeCell ref="T147:V147"/>
    <mergeCell ref="C144:D144"/>
    <mergeCell ref="E144:G144"/>
    <mergeCell ref="J144:L144"/>
    <mergeCell ref="O144:Q144"/>
    <mergeCell ref="T144:V144"/>
    <mergeCell ref="C145:D145"/>
    <mergeCell ref="E145:G145"/>
    <mergeCell ref="J145:L145"/>
    <mergeCell ref="O145:Q145"/>
    <mergeCell ref="T145:V145"/>
    <mergeCell ref="E142:I142"/>
    <mergeCell ref="J142:N142"/>
    <mergeCell ref="O142:S142"/>
    <mergeCell ref="T142:X142"/>
    <mergeCell ref="C143:D143"/>
    <mergeCell ref="E143:G143"/>
    <mergeCell ref="J143:L143"/>
    <mergeCell ref="O143:Q143"/>
    <mergeCell ref="T143:V143"/>
    <mergeCell ref="C137:D137"/>
    <mergeCell ref="E137:G137"/>
    <mergeCell ref="J137:L137"/>
    <mergeCell ref="O137:Q137"/>
    <mergeCell ref="T137:V137"/>
    <mergeCell ref="B138:W138"/>
    <mergeCell ref="A139:W139"/>
    <mergeCell ref="A140:XFD140"/>
    <mergeCell ref="A141:X141"/>
    <mergeCell ref="B133:B137"/>
    <mergeCell ref="I133:I137"/>
    <mergeCell ref="N133:N137"/>
    <mergeCell ref="S133:S137"/>
    <mergeCell ref="C135:D135"/>
    <mergeCell ref="E135:G135"/>
    <mergeCell ref="J135:L135"/>
    <mergeCell ref="O135:Q135"/>
    <mergeCell ref="T135:V135"/>
    <mergeCell ref="C136:D136"/>
    <mergeCell ref="E136:G136"/>
    <mergeCell ref="J136:L136"/>
    <mergeCell ref="O136:Q136"/>
    <mergeCell ref="T136:V136"/>
    <mergeCell ref="C133:D133"/>
    <mergeCell ref="E133:G133"/>
    <mergeCell ref="J133:L133"/>
    <mergeCell ref="O133:Q133"/>
    <mergeCell ref="T133:V133"/>
    <mergeCell ref="C134:D134"/>
    <mergeCell ref="E134:G134"/>
    <mergeCell ref="J134:L134"/>
    <mergeCell ref="O134:Q134"/>
    <mergeCell ref="T134:V134"/>
    <mergeCell ref="E131:I131"/>
    <mergeCell ref="J131:N131"/>
    <mergeCell ref="O131:S131"/>
    <mergeCell ref="T131:X131"/>
    <mergeCell ref="C132:D132"/>
    <mergeCell ref="E132:G132"/>
    <mergeCell ref="J132:L132"/>
    <mergeCell ref="O132:Q132"/>
    <mergeCell ref="T132:V132"/>
    <mergeCell ref="C128:D128"/>
    <mergeCell ref="E128:G128"/>
    <mergeCell ref="J128:L128"/>
    <mergeCell ref="O128:Q128"/>
    <mergeCell ref="T128:V128"/>
    <mergeCell ref="C129:D129"/>
    <mergeCell ref="E129:G129"/>
    <mergeCell ref="J129:L129"/>
    <mergeCell ref="O129:Q129"/>
    <mergeCell ref="T129:V129"/>
    <mergeCell ref="I125:I129"/>
    <mergeCell ref="N125:N129"/>
    <mergeCell ref="S125:S129"/>
    <mergeCell ref="C126:D126"/>
    <mergeCell ref="E126:G126"/>
    <mergeCell ref="J126:L126"/>
    <mergeCell ref="O126:Q126"/>
    <mergeCell ref="T126:V126"/>
    <mergeCell ref="C127:D127"/>
    <mergeCell ref="E127:G127"/>
    <mergeCell ref="J127:L127"/>
    <mergeCell ref="O127:Q127"/>
    <mergeCell ref="T127:V127"/>
    <mergeCell ref="C124:D124"/>
    <mergeCell ref="E124:G124"/>
    <mergeCell ref="J124:L124"/>
    <mergeCell ref="O124:Q124"/>
    <mergeCell ref="T124:V124"/>
    <mergeCell ref="C125:D125"/>
    <mergeCell ref="E125:G125"/>
    <mergeCell ref="J125:L125"/>
    <mergeCell ref="O125:Q125"/>
    <mergeCell ref="T125:V125"/>
    <mergeCell ref="C121:D121"/>
    <mergeCell ref="E121:G121"/>
    <mergeCell ref="J121:L121"/>
    <mergeCell ref="O121:Q121"/>
    <mergeCell ref="T121:V121"/>
    <mergeCell ref="E123:I123"/>
    <mergeCell ref="J123:N123"/>
    <mergeCell ref="O123:S123"/>
    <mergeCell ref="T123:X123"/>
    <mergeCell ref="I117:I121"/>
    <mergeCell ref="N117:N121"/>
    <mergeCell ref="S117:S121"/>
    <mergeCell ref="C119:D119"/>
    <mergeCell ref="E119:G119"/>
    <mergeCell ref="J119:L119"/>
    <mergeCell ref="O119:Q119"/>
    <mergeCell ref="T119:V119"/>
    <mergeCell ref="C120:D120"/>
    <mergeCell ref="E120:G120"/>
    <mergeCell ref="J120:L120"/>
    <mergeCell ref="O120:Q120"/>
    <mergeCell ref="T120:V120"/>
    <mergeCell ref="C117:D117"/>
    <mergeCell ref="E117:G117"/>
    <mergeCell ref="J117:L117"/>
    <mergeCell ref="O117:Q117"/>
    <mergeCell ref="T117:V117"/>
    <mergeCell ref="C118:D118"/>
    <mergeCell ref="E118:G118"/>
    <mergeCell ref="J118:L118"/>
    <mergeCell ref="O118:Q118"/>
    <mergeCell ref="T118:V118"/>
    <mergeCell ref="E115:I115"/>
    <mergeCell ref="J115:N115"/>
    <mergeCell ref="O115:S115"/>
    <mergeCell ref="T115:X115"/>
    <mergeCell ref="C116:D116"/>
    <mergeCell ref="E116:G116"/>
    <mergeCell ref="J116:L116"/>
    <mergeCell ref="O116:Q116"/>
    <mergeCell ref="T116:V116"/>
    <mergeCell ref="C112:D112"/>
    <mergeCell ref="E112:G112"/>
    <mergeCell ref="J112:L112"/>
    <mergeCell ref="O112:Q112"/>
    <mergeCell ref="T112:V112"/>
    <mergeCell ref="C113:D113"/>
    <mergeCell ref="E113:G113"/>
    <mergeCell ref="J113:L113"/>
    <mergeCell ref="O113:Q113"/>
    <mergeCell ref="T113:V113"/>
    <mergeCell ref="I109:I113"/>
    <mergeCell ref="N109:N113"/>
    <mergeCell ref="S109:S113"/>
    <mergeCell ref="C110:D110"/>
    <mergeCell ref="E110:G110"/>
    <mergeCell ref="J110:L110"/>
    <mergeCell ref="O110:Q110"/>
    <mergeCell ref="T110:V110"/>
    <mergeCell ref="C111:D111"/>
    <mergeCell ref="E111:G111"/>
    <mergeCell ref="J111:L111"/>
    <mergeCell ref="O111:Q111"/>
    <mergeCell ref="T111:V111"/>
    <mergeCell ref="C108:D108"/>
    <mergeCell ref="E108:G108"/>
    <mergeCell ref="J108:L108"/>
    <mergeCell ref="O108:Q108"/>
    <mergeCell ref="T108:V108"/>
    <mergeCell ref="C109:D109"/>
    <mergeCell ref="E109:G109"/>
    <mergeCell ref="J109:L109"/>
    <mergeCell ref="O109:Q109"/>
    <mergeCell ref="T109:V109"/>
    <mergeCell ref="C105:D105"/>
    <mergeCell ref="E105:G105"/>
    <mergeCell ref="J105:L105"/>
    <mergeCell ref="O105:Q105"/>
    <mergeCell ref="T105:V105"/>
    <mergeCell ref="E107:I107"/>
    <mergeCell ref="J107:N107"/>
    <mergeCell ref="O107:S107"/>
    <mergeCell ref="T107:X107"/>
    <mergeCell ref="I101:I105"/>
    <mergeCell ref="N101:N105"/>
    <mergeCell ref="S101:S105"/>
    <mergeCell ref="X101:X105"/>
    <mergeCell ref="C103:D103"/>
    <mergeCell ref="E103:G103"/>
    <mergeCell ref="J103:L103"/>
    <mergeCell ref="O103:Q103"/>
    <mergeCell ref="T103:V103"/>
    <mergeCell ref="C104:D104"/>
    <mergeCell ref="E104:G104"/>
    <mergeCell ref="J104:L104"/>
    <mergeCell ref="O104:Q104"/>
    <mergeCell ref="T104:V104"/>
    <mergeCell ref="C101:D101"/>
    <mergeCell ref="E101:G101"/>
    <mergeCell ref="J101:L101"/>
    <mergeCell ref="O101:Q101"/>
    <mergeCell ref="T101:V101"/>
    <mergeCell ref="C102:D102"/>
    <mergeCell ref="E102:G102"/>
    <mergeCell ref="J102:L102"/>
    <mergeCell ref="O102:Q102"/>
    <mergeCell ref="T102:V102"/>
    <mergeCell ref="A95:W95"/>
    <mergeCell ref="A96:W96"/>
    <mergeCell ref="A97:XFD97"/>
    <mergeCell ref="A98:X98"/>
    <mergeCell ref="E99:I99"/>
    <mergeCell ref="J99:N99"/>
    <mergeCell ref="O99:S99"/>
    <mergeCell ref="T99:X99"/>
    <mergeCell ref="C100:D100"/>
    <mergeCell ref="E100:G100"/>
    <mergeCell ref="J100:L100"/>
    <mergeCell ref="O100:Q100"/>
    <mergeCell ref="T100:V100"/>
    <mergeCell ref="C93:D93"/>
    <mergeCell ref="E93:G93"/>
    <mergeCell ref="J93:L93"/>
    <mergeCell ref="O93:Q93"/>
    <mergeCell ref="T93:V93"/>
    <mergeCell ref="C94:D94"/>
    <mergeCell ref="E94:G94"/>
    <mergeCell ref="J94:L94"/>
    <mergeCell ref="O94:Q94"/>
    <mergeCell ref="T94:V94"/>
    <mergeCell ref="N89:N94"/>
    <mergeCell ref="C91:D91"/>
    <mergeCell ref="E91:G91"/>
    <mergeCell ref="J91:L91"/>
    <mergeCell ref="O91:Q91"/>
    <mergeCell ref="T91:V91"/>
    <mergeCell ref="C92:D92"/>
    <mergeCell ref="E92:G92"/>
    <mergeCell ref="J92:L92"/>
    <mergeCell ref="O92:Q92"/>
    <mergeCell ref="T92:V92"/>
    <mergeCell ref="C89:D89"/>
    <mergeCell ref="E89:G89"/>
    <mergeCell ref="J89:L89"/>
    <mergeCell ref="C90:D90"/>
    <mergeCell ref="E90:G90"/>
    <mergeCell ref="J90:L90"/>
    <mergeCell ref="O90:Q90"/>
    <mergeCell ref="T90:V90"/>
    <mergeCell ref="C88:D88"/>
    <mergeCell ref="E88:G88"/>
    <mergeCell ref="J88:L88"/>
    <mergeCell ref="O88:Q88"/>
    <mergeCell ref="T88:V88"/>
    <mergeCell ref="J80:L80"/>
    <mergeCell ref="O80:Q80"/>
    <mergeCell ref="T80:V80"/>
    <mergeCell ref="C81:D81"/>
    <mergeCell ref="E81:G81"/>
    <mergeCell ref="J81:L81"/>
    <mergeCell ref="O81:Q81"/>
    <mergeCell ref="T81:V81"/>
    <mergeCell ref="O89:Q89"/>
    <mergeCell ref="T89:V89"/>
    <mergeCell ref="J87:N87"/>
    <mergeCell ref="C82:D82"/>
    <mergeCell ref="E82:G82"/>
    <mergeCell ref="J82:L82"/>
    <mergeCell ref="O82:Q82"/>
    <mergeCell ref="T82:V82"/>
    <mergeCell ref="C83:D83"/>
    <mergeCell ref="E83:G83"/>
    <mergeCell ref="J83:L83"/>
    <mergeCell ref="O83:Q83"/>
    <mergeCell ref="T83:V83"/>
    <mergeCell ref="C84:D84"/>
    <mergeCell ref="E84:G84"/>
    <mergeCell ref="J84:L84"/>
    <mergeCell ref="O84:Q84"/>
    <mergeCell ref="T84:V84"/>
    <mergeCell ref="C85:D85"/>
    <mergeCell ref="E85:G85"/>
    <mergeCell ref="J85:L85"/>
    <mergeCell ref="O85:Q85"/>
    <mergeCell ref="T85:V85"/>
    <mergeCell ref="N80:N85"/>
    <mergeCell ref="C80:D80"/>
    <mergeCell ref="E80:G80"/>
    <mergeCell ref="C79:D79"/>
    <mergeCell ref="E79:G79"/>
    <mergeCell ref="J79:L79"/>
    <mergeCell ref="O79:Q79"/>
    <mergeCell ref="T79:V79"/>
    <mergeCell ref="C75:D75"/>
    <mergeCell ref="E75:G75"/>
    <mergeCell ref="J75:L75"/>
    <mergeCell ref="O75:Q75"/>
    <mergeCell ref="T75:V75"/>
    <mergeCell ref="C76:D76"/>
    <mergeCell ref="E76:G76"/>
    <mergeCell ref="J76:L76"/>
    <mergeCell ref="O76:Q76"/>
    <mergeCell ref="T76:V76"/>
    <mergeCell ref="N71:N76"/>
    <mergeCell ref="J78:N78"/>
    <mergeCell ref="C73:D73"/>
    <mergeCell ref="E73:G73"/>
    <mergeCell ref="J73:L73"/>
    <mergeCell ref="O73:Q73"/>
    <mergeCell ref="T73:V73"/>
    <mergeCell ref="C74:D74"/>
    <mergeCell ref="E74:G74"/>
    <mergeCell ref="J74:L74"/>
    <mergeCell ref="O74:Q74"/>
    <mergeCell ref="T74:V74"/>
    <mergeCell ref="C71:D71"/>
    <mergeCell ref="E71:G71"/>
    <mergeCell ref="J71:L71"/>
    <mergeCell ref="O71:Q71"/>
    <mergeCell ref="T71:V71"/>
    <mergeCell ref="C72:D72"/>
    <mergeCell ref="E72:G72"/>
    <mergeCell ref="J72:L72"/>
    <mergeCell ref="O72:Q72"/>
    <mergeCell ref="T72:V72"/>
    <mergeCell ref="C70:D70"/>
    <mergeCell ref="E70:G70"/>
    <mergeCell ref="J70:L70"/>
    <mergeCell ref="O70:Q70"/>
    <mergeCell ref="T70:V70"/>
    <mergeCell ref="C66:D66"/>
    <mergeCell ref="E66:G66"/>
    <mergeCell ref="J66:L66"/>
    <mergeCell ref="O66:Q66"/>
    <mergeCell ref="T66:V66"/>
    <mergeCell ref="C67:D67"/>
    <mergeCell ref="E67:G67"/>
    <mergeCell ref="J67:L67"/>
    <mergeCell ref="O67:Q67"/>
    <mergeCell ref="T67:V67"/>
    <mergeCell ref="N62:N67"/>
    <mergeCell ref="J69:N69"/>
    <mergeCell ref="C64:D64"/>
    <mergeCell ref="E64:G64"/>
    <mergeCell ref="J64:L64"/>
    <mergeCell ref="O64:Q64"/>
    <mergeCell ref="T64:V64"/>
    <mergeCell ref="C65:D65"/>
    <mergeCell ref="E65:G65"/>
    <mergeCell ref="J65:L65"/>
    <mergeCell ref="O65:Q65"/>
    <mergeCell ref="T65:V65"/>
    <mergeCell ref="C62:D62"/>
    <mergeCell ref="E62:G62"/>
    <mergeCell ref="J62:L62"/>
    <mergeCell ref="O62:Q62"/>
    <mergeCell ref="T62:V62"/>
    <mergeCell ref="C63:D63"/>
    <mergeCell ref="E63:G63"/>
    <mergeCell ref="J63:L63"/>
    <mergeCell ref="O63:Q63"/>
    <mergeCell ref="T63:V63"/>
    <mergeCell ref="C61:D61"/>
    <mergeCell ref="E61:G61"/>
    <mergeCell ref="J61:L61"/>
    <mergeCell ref="O61:Q61"/>
    <mergeCell ref="T61:V61"/>
    <mergeCell ref="C57:D57"/>
    <mergeCell ref="E57:G57"/>
    <mergeCell ref="J57:L57"/>
    <mergeCell ref="O57:Q57"/>
    <mergeCell ref="T57:V57"/>
    <mergeCell ref="C58:D58"/>
    <mergeCell ref="E58:G58"/>
    <mergeCell ref="J58:L58"/>
    <mergeCell ref="O58:Q58"/>
    <mergeCell ref="T58:V58"/>
    <mergeCell ref="N53:N58"/>
    <mergeCell ref="J60:N60"/>
    <mergeCell ref="C55:D55"/>
    <mergeCell ref="E55:G55"/>
    <mergeCell ref="J55:L55"/>
    <mergeCell ref="O55:Q55"/>
    <mergeCell ref="T55:V55"/>
    <mergeCell ref="C56:D56"/>
    <mergeCell ref="E56:G56"/>
    <mergeCell ref="J56:L56"/>
    <mergeCell ref="O56:Q56"/>
    <mergeCell ref="T56:V56"/>
    <mergeCell ref="C53:D53"/>
    <mergeCell ref="E53:G53"/>
    <mergeCell ref="J53:L53"/>
    <mergeCell ref="O53:Q53"/>
    <mergeCell ref="T53:V53"/>
    <mergeCell ref="C54:D54"/>
    <mergeCell ref="E54:G54"/>
    <mergeCell ref="J54:L54"/>
    <mergeCell ref="O54:Q54"/>
    <mergeCell ref="T54:V54"/>
    <mergeCell ref="J51:N51"/>
    <mergeCell ref="O51:S51"/>
    <mergeCell ref="T51:X51"/>
    <mergeCell ref="C52:D52"/>
    <mergeCell ref="E52:G52"/>
    <mergeCell ref="J52:L52"/>
    <mergeCell ref="O52:Q52"/>
    <mergeCell ref="T52:V52"/>
    <mergeCell ref="C48:D48"/>
    <mergeCell ref="E48:G48"/>
    <mergeCell ref="J48:L48"/>
    <mergeCell ref="O48:Q48"/>
    <mergeCell ref="T48:V48"/>
    <mergeCell ref="C49:D49"/>
    <mergeCell ref="E49:G49"/>
    <mergeCell ref="J49:L49"/>
    <mergeCell ref="O49:Q49"/>
    <mergeCell ref="T49:V49"/>
    <mergeCell ref="N44:N49"/>
    <mergeCell ref="C46:D46"/>
    <mergeCell ref="E46:G46"/>
    <mergeCell ref="J46:L46"/>
    <mergeCell ref="O46:Q46"/>
    <mergeCell ref="T46:V46"/>
    <mergeCell ref="C47:D47"/>
    <mergeCell ref="E47:G47"/>
    <mergeCell ref="J47:L47"/>
    <mergeCell ref="O47:Q47"/>
    <mergeCell ref="T47:V47"/>
    <mergeCell ref="C44:D44"/>
    <mergeCell ref="E44:G44"/>
    <mergeCell ref="J44:L44"/>
    <mergeCell ref="O44:Q44"/>
    <mergeCell ref="T44:V44"/>
    <mergeCell ref="C45:D45"/>
    <mergeCell ref="E45:G45"/>
    <mergeCell ref="J45:L45"/>
    <mergeCell ref="O45:Q45"/>
    <mergeCell ref="T45:V45"/>
    <mergeCell ref="J34:N34"/>
    <mergeCell ref="O34:S34"/>
    <mergeCell ref="T34:X34"/>
    <mergeCell ref="C35:D35"/>
    <mergeCell ref="E35:I35"/>
    <mergeCell ref="J35:N35"/>
    <mergeCell ref="O35:S35"/>
    <mergeCell ref="T35:X35"/>
    <mergeCell ref="C32:D32"/>
    <mergeCell ref="E32:I32"/>
    <mergeCell ref="J32:N32"/>
    <mergeCell ref="O32:S32"/>
    <mergeCell ref="T32:X32"/>
    <mergeCell ref="C33:D33"/>
    <mergeCell ref="E33:I33"/>
    <mergeCell ref="J33:N33"/>
    <mergeCell ref="O33:S33"/>
    <mergeCell ref="T33:X33"/>
    <mergeCell ref="C30:D30"/>
    <mergeCell ref="E30:I30"/>
    <mergeCell ref="J30:N30"/>
    <mergeCell ref="O30:S30"/>
    <mergeCell ref="T30:X30"/>
    <mergeCell ref="C31:D31"/>
    <mergeCell ref="E31:I31"/>
    <mergeCell ref="J31:N31"/>
    <mergeCell ref="O31:S31"/>
    <mergeCell ref="T31:X31"/>
    <mergeCell ref="C28:D28"/>
    <mergeCell ref="E28:I28"/>
    <mergeCell ref="J28:N28"/>
    <mergeCell ref="O28:S28"/>
    <mergeCell ref="T28:X28"/>
    <mergeCell ref="C29:D29"/>
    <mergeCell ref="E29:I29"/>
    <mergeCell ref="J29:N29"/>
    <mergeCell ref="O29:S29"/>
    <mergeCell ref="T29:X29"/>
    <mergeCell ref="O27:S27"/>
    <mergeCell ref="T27:X27"/>
    <mergeCell ref="C16:X16"/>
    <mergeCell ref="E17:I17"/>
    <mergeCell ref="J17:N17"/>
    <mergeCell ref="O17:S17"/>
    <mergeCell ref="T17:X17"/>
    <mergeCell ref="C19:D19"/>
    <mergeCell ref="C20:D20"/>
    <mergeCell ref="C21:D21"/>
    <mergeCell ref="C22:D22"/>
    <mergeCell ref="A1:AC1"/>
    <mergeCell ref="A2:AC2"/>
    <mergeCell ref="A3:AC3"/>
    <mergeCell ref="B4:AC4"/>
    <mergeCell ref="E5:X5"/>
    <mergeCell ref="Y5:AC5"/>
    <mergeCell ref="E6:I6"/>
    <mergeCell ref="J6:N6"/>
    <mergeCell ref="O6:S6"/>
    <mergeCell ref="T6:X6"/>
  </mergeCells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8"/>
  <sheetViews>
    <sheetView topLeftCell="A130" workbookViewId="0">
      <selection activeCell="T22" sqref="T22"/>
    </sheetView>
  </sheetViews>
  <sheetFormatPr defaultColWidth="9.140625" defaultRowHeight="11.25" x14ac:dyDescent="0.2"/>
  <cols>
    <col min="1" max="1" width="5" style="1" customWidth="1"/>
    <col min="2" max="2" width="25.7109375" style="2" customWidth="1"/>
    <col min="3" max="3" width="11.140625" style="2" customWidth="1"/>
    <col min="4" max="11" width="3.42578125" style="2" customWidth="1"/>
    <col min="12" max="19" width="4.42578125" style="2" customWidth="1"/>
    <col min="20" max="20" width="26.140625" style="2" customWidth="1"/>
    <col min="21" max="21" width="9.140625" style="2"/>
    <col min="22" max="22" width="32.28515625" style="2" customWidth="1"/>
    <col min="23" max="16384" width="9.140625" style="2"/>
  </cols>
  <sheetData>
    <row r="1" spans="1:20" ht="18" customHeight="1" x14ac:dyDescent="0.2">
      <c r="B1" s="192" t="s">
        <v>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20" ht="9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O2" s="3"/>
      <c r="P2" s="42" t="s">
        <v>153</v>
      </c>
      <c r="Q2" s="42"/>
      <c r="R2" s="42"/>
      <c r="S2" s="42"/>
      <c r="T2" s="42"/>
    </row>
    <row r="3" spans="1:20" ht="15" customHeight="1" x14ac:dyDescent="0.2">
      <c r="A3" s="193" t="s">
        <v>154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20" ht="50.25" customHeight="1" x14ac:dyDescent="0.2">
      <c r="A4" s="194" t="s">
        <v>155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</row>
    <row r="5" spans="1:20" ht="16.5" customHeight="1" x14ac:dyDescent="0.2">
      <c r="A5" s="4" t="s">
        <v>3</v>
      </c>
      <c r="B5" s="197" t="s">
        <v>156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9"/>
    </row>
    <row r="6" spans="1:20" ht="17.25" customHeight="1" x14ac:dyDescent="0.2">
      <c r="A6" s="5" t="s">
        <v>157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8"/>
    </row>
    <row r="7" spans="1:20" ht="33" customHeight="1" x14ac:dyDescent="0.2">
      <c r="A7" s="7" t="s">
        <v>158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59"/>
    </row>
    <row r="8" spans="1:20" ht="14.25" customHeight="1" x14ac:dyDescent="0.2">
      <c r="A8" s="9" t="s">
        <v>159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60">
        <v>0.2</v>
      </c>
    </row>
    <row r="9" spans="1:20" ht="25.5" customHeight="1" x14ac:dyDescent="0.2">
      <c r="A9" s="200" t="s">
        <v>160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2"/>
    </row>
    <row r="10" spans="1:20" ht="19.5" customHeight="1" x14ac:dyDescent="0.2">
      <c r="A10" s="207"/>
      <c r="B10" s="210"/>
      <c r="C10" s="217" t="s">
        <v>14</v>
      </c>
      <c r="D10" s="203" t="s">
        <v>161</v>
      </c>
      <c r="E10" s="203"/>
      <c r="F10" s="203"/>
      <c r="G10" s="203"/>
      <c r="H10" s="203"/>
      <c r="I10" s="203" t="s">
        <v>162</v>
      </c>
      <c r="J10" s="203"/>
      <c r="K10" s="203"/>
      <c r="L10" s="203"/>
      <c r="M10" s="203"/>
      <c r="N10" s="204" t="s">
        <v>163</v>
      </c>
      <c r="O10" s="204" t="s">
        <v>164</v>
      </c>
      <c r="P10" s="204"/>
      <c r="Q10" s="204"/>
      <c r="R10" s="204"/>
      <c r="S10" s="204"/>
      <c r="T10" s="213" t="s">
        <v>165</v>
      </c>
    </row>
    <row r="11" spans="1:20" ht="22.5" customHeight="1" x14ac:dyDescent="0.2">
      <c r="A11" s="208"/>
      <c r="B11" s="211"/>
      <c r="C11" s="218"/>
      <c r="D11" s="12" t="s">
        <v>8</v>
      </c>
      <c r="E11" s="12" t="s">
        <v>9</v>
      </c>
      <c r="F11" s="12" t="s">
        <v>10</v>
      </c>
      <c r="G11" s="12" t="s">
        <v>11</v>
      </c>
      <c r="H11" s="12" t="s">
        <v>166</v>
      </c>
      <c r="I11" s="12" t="s">
        <v>8</v>
      </c>
      <c r="J11" s="12" t="s">
        <v>9</v>
      </c>
      <c r="K11" s="12" t="s">
        <v>10</v>
      </c>
      <c r="L11" s="12" t="s">
        <v>11</v>
      </c>
      <c r="M11" s="12" t="s">
        <v>166</v>
      </c>
      <c r="N11" s="212"/>
      <c r="O11" s="12" t="s">
        <v>8</v>
      </c>
      <c r="P11" s="12" t="s">
        <v>9</v>
      </c>
      <c r="Q11" s="12" t="s">
        <v>10</v>
      </c>
      <c r="R11" s="12" t="s">
        <v>11</v>
      </c>
      <c r="S11" s="12" t="s">
        <v>166</v>
      </c>
      <c r="T11" s="214"/>
    </row>
    <row r="12" spans="1:20" ht="12.75" customHeight="1" x14ac:dyDescent="0.2">
      <c r="A12" s="209" t="s">
        <v>50</v>
      </c>
      <c r="B12" s="209" t="s">
        <v>167</v>
      </c>
      <c r="C12" s="219" t="s">
        <v>168</v>
      </c>
      <c r="D12" s="14">
        <v>10</v>
      </c>
      <c r="E12" s="15">
        <v>10</v>
      </c>
      <c r="F12" s="15">
        <v>20</v>
      </c>
      <c r="G12" s="15">
        <v>20</v>
      </c>
      <c r="H12" s="15">
        <f>(D12+E12+F12+G12)/4</f>
        <v>15</v>
      </c>
      <c r="I12" s="17">
        <v>7</v>
      </c>
      <c r="J12" s="17">
        <v>8</v>
      </c>
      <c r="K12" s="17">
        <v>7</v>
      </c>
      <c r="L12" s="17">
        <v>8</v>
      </c>
      <c r="M12" s="15">
        <f>(I12+J12+K12+L12)/4</f>
        <v>7.5</v>
      </c>
      <c r="N12" s="43">
        <v>1</v>
      </c>
      <c r="O12" s="43">
        <v>4</v>
      </c>
      <c r="P12" s="43">
        <v>3</v>
      </c>
      <c r="Q12" s="43">
        <v>3</v>
      </c>
      <c r="R12" s="43">
        <v>2</v>
      </c>
      <c r="S12" s="43">
        <f>SUM(O12:R12)/4</f>
        <v>3</v>
      </c>
      <c r="T12" s="215">
        <f>(H12+N12-0.2*S12)+(M12-0.2*S12)</f>
        <v>22.3</v>
      </c>
    </row>
    <row r="13" spans="1:20" ht="21.75" customHeight="1" x14ac:dyDescent="0.2">
      <c r="A13" s="209"/>
      <c r="B13" s="209"/>
      <c r="C13" s="219"/>
      <c r="D13" s="16"/>
      <c r="E13" s="15"/>
      <c r="F13" s="15"/>
      <c r="G13" s="15"/>
      <c r="H13" s="15"/>
      <c r="I13" s="16"/>
      <c r="J13" s="16"/>
      <c r="K13" s="16"/>
      <c r="L13" s="16"/>
      <c r="M13" s="16"/>
      <c r="N13" s="44"/>
      <c r="O13" s="45"/>
      <c r="P13" s="46"/>
      <c r="Q13" s="46"/>
      <c r="R13" s="46"/>
      <c r="S13" s="46"/>
      <c r="T13" s="216"/>
    </row>
    <row r="14" spans="1:20" ht="13.5" customHeight="1" x14ac:dyDescent="0.2">
      <c r="A14" s="209" t="s">
        <v>54</v>
      </c>
      <c r="B14" s="209" t="s">
        <v>169</v>
      </c>
      <c r="C14" s="219"/>
      <c r="D14" s="16">
        <v>10</v>
      </c>
      <c r="E14" s="16">
        <v>10</v>
      </c>
      <c r="F14" s="16">
        <v>10</v>
      </c>
      <c r="G14" s="16">
        <v>20</v>
      </c>
      <c r="H14" s="15">
        <f>(D14+E14+F14+G14)/4</f>
        <v>12.5</v>
      </c>
      <c r="I14" s="16">
        <v>8</v>
      </c>
      <c r="J14" s="16">
        <v>8</v>
      </c>
      <c r="K14" s="16">
        <v>7</v>
      </c>
      <c r="L14" s="16">
        <v>9</v>
      </c>
      <c r="M14" s="15">
        <f>(I14+J14+K14+L14)/4</f>
        <v>8</v>
      </c>
      <c r="N14" s="43">
        <v>1</v>
      </c>
      <c r="O14" s="43">
        <v>5</v>
      </c>
      <c r="P14" s="43">
        <v>4</v>
      </c>
      <c r="Q14" s="43">
        <v>3</v>
      </c>
      <c r="R14" s="43">
        <v>2</v>
      </c>
      <c r="S14" s="43">
        <f>SUM(O14:R14)/4</f>
        <v>3.5</v>
      </c>
      <c r="T14" s="215">
        <f>(H14+N14-0.2*S14)+(M14-0.2*S14)</f>
        <v>20.100000000000001</v>
      </c>
    </row>
    <row r="15" spans="1:20" ht="33" customHeight="1" x14ac:dyDescent="0.2">
      <c r="A15" s="209"/>
      <c r="B15" s="209"/>
      <c r="C15" s="21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47"/>
      <c r="O15" s="48"/>
      <c r="P15" s="46"/>
      <c r="Q15" s="46"/>
      <c r="R15" s="46"/>
      <c r="S15" s="46"/>
      <c r="T15" s="216"/>
    </row>
    <row r="16" spans="1:20" ht="21" customHeight="1" x14ac:dyDescent="0.2">
      <c r="A16" s="205" t="s">
        <v>29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61"/>
      <c r="T16" s="62">
        <f>T12+T14</f>
        <v>42.4</v>
      </c>
    </row>
    <row r="17" spans="1:20" ht="32.25" customHeight="1" x14ac:dyDescent="0.2">
      <c r="A17" s="356" t="s">
        <v>170</v>
      </c>
      <c r="B17" s="226"/>
      <c r="C17" s="226" t="s">
        <v>14</v>
      </c>
      <c r="D17" s="220" t="s">
        <v>31</v>
      </c>
      <c r="E17" s="220"/>
      <c r="F17" s="220"/>
      <c r="G17" s="220"/>
      <c r="H17" s="220" t="s">
        <v>32</v>
      </c>
      <c r="I17" s="220"/>
      <c r="J17" s="220"/>
      <c r="K17" s="220"/>
      <c r="L17" s="220" t="s">
        <v>33</v>
      </c>
      <c r="M17" s="220"/>
      <c r="N17" s="220"/>
      <c r="O17" s="220"/>
      <c r="P17" s="220" t="s">
        <v>34</v>
      </c>
      <c r="Q17" s="220"/>
      <c r="R17" s="220"/>
      <c r="S17" s="220"/>
      <c r="T17" s="309" t="s">
        <v>171</v>
      </c>
    </row>
    <row r="18" spans="1:20" ht="30" customHeight="1" x14ac:dyDescent="0.2">
      <c r="A18" s="357"/>
      <c r="B18" s="225"/>
      <c r="C18" s="225"/>
      <c r="D18" s="18" t="s">
        <v>35</v>
      </c>
      <c r="E18" s="18" t="s">
        <v>172</v>
      </c>
      <c r="F18" s="18" t="s">
        <v>37</v>
      </c>
      <c r="G18" s="18" t="s">
        <v>39</v>
      </c>
      <c r="H18" s="18" t="s">
        <v>172</v>
      </c>
      <c r="I18" s="18" t="s">
        <v>37</v>
      </c>
      <c r="J18" s="18" t="s">
        <v>35</v>
      </c>
      <c r="K18" s="18" t="s">
        <v>39</v>
      </c>
      <c r="L18" s="18" t="s">
        <v>172</v>
      </c>
      <c r="M18" s="18" t="s">
        <v>37</v>
      </c>
      <c r="N18" s="18" t="s">
        <v>35</v>
      </c>
      <c r="O18" s="18" t="s">
        <v>39</v>
      </c>
      <c r="P18" s="18" t="s">
        <v>172</v>
      </c>
      <c r="Q18" s="18" t="s">
        <v>37</v>
      </c>
      <c r="R18" s="18" t="s">
        <v>35</v>
      </c>
      <c r="S18" s="18" t="s">
        <v>39</v>
      </c>
      <c r="T18" s="310"/>
    </row>
    <row r="19" spans="1:20" ht="11.25" customHeight="1" x14ac:dyDescent="0.2">
      <c r="A19" s="223" t="s">
        <v>50</v>
      </c>
      <c r="B19" s="224" t="s">
        <v>173</v>
      </c>
      <c r="C19" s="13" t="s">
        <v>174</v>
      </c>
      <c r="D19" s="15"/>
      <c r="E19" s="15"/>
      <c r="F19" s="15"/>
      <c r="G19" s="225">
        <f>D19+E19+F19+D20+E20+F20+D21+E21+F21</f>
        <v>15</v>
      </c>
      <c r="H19" s="15"/>
      <c r="I19" s="15"/>
      <c r="J19" s="15"/>
      <c r="K19" s="225">
        <f>H19+I19+J19+H20+I20+J20+H21+I21+J21</f>
        <v>15</v>
      </c>
      <c r="L19" s="15"/>
      <c r="M19" s="15"/>
      <c r="N19" s="15"/>
      <c r="O19" s="225">
        <f>L19+M19+N19+L20+M20+N20+L21+M21+N21</f>
        <v>15</v>
      </c>
      <c r="P19" s="15"/>
      <c r="Q19" s="15"/>
      <c r="R19" s="15"/>
      <c r="S19" s="225">
        <f t="shared" ref="S19" si="0">P19+Q19+R19+P20++Q20+R20+P21+Q21+R21</f>
        <v>15</v>
      </c>
      <c r="T19" s="310">
        <f>(G19+K19+O19+S19)/4</f>
        <v>15</v>
      </c>
    </row>
    <row r="20" spans="1:20" ht="11.25" customHeight="1" x14ac:dyDescent="0.2">
      <c r="A20" s="223"/>
      <c r="B20" s="224"/>
      <c r="C20" s="13" t="s">
        <v>175</v>
      </c>
      <c r="D20" s="15">
        <v>5</v>
      </c>
      <c r="E20" s="15">
        <v>5</v>
      </c>
      <c r="F20" s="15">
        <v>5</v>
      </c>
      <c r="G20" s="225"/>
      <c r="H20" s="15">
        <v>5</v>
      </c>
      <c r="I20" s="15">
        <v>5</v>
      </c>
      <c r="J20" s="15">
        <v>5</v>
      </c>
      <c r="K20" s="225"/>
      <c r="L20" s="15">
        <v>5</v>
      </c>
      <c r="M20" s="15">
        <v>5</v>
      </c>
      <c r="N20" s="15">
        <v>5</v>
      </c>
      <c r="O20" s="225"/>
      <c r="P20" s="15">
        <v>5</v>
      </c>
      <c r="Q20" s="15">
        <v>5</v>
      </c>
      <c r="R20" s="15">
        <v>5</v>
      </c>
      <c r="S20" s="225"/>
      <c r="T20" s="310"/>
    </row>
    <row r="21" spans="1:20" ht="28.5" customHeight="1" x14ac:dyDescent="0.2">
      <c r="A21" s="223"/>
      <c r="B21" s="224"/>
      <c r="C21" s="13" t="s">
        <v>176</v>
      </c>
      <c r="D21" s="15"/>
      <c r="E21" s="15"/>
      <c r="F21" s="15"/>
      <c r="G21" s="225"/>
      <c r="H21" s="15"/>
      <c r="I21" s="15"/>
      <c r="J21" s="15"/>
      <c r="K21" s="225"/>
      <c r="L21" s="15"/>
      <c r="M21" s="15"/>
      <c r="N21" s="15"/>
      <c r="O21" s="225"/>
      <c r="P21" s="15"/>
      <c r="Q21" s="15"/>
      <c r="R21" s="15"/>
      <c r="S21" s="225"/>
      <c r="T21" s="310"/>
    </row>
    <row r="22" spans="1:20" ht="20.25" customHeight="1" x14ac:dyDescent="0.2">
      <c r="A22" s="221" t="s">
        <v>48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1"/>
      <c r="T22" s="63">
        <f>T19</f>
        <v>15</v>
      </c>
    </row>
    <row r="23" spans="1:20" ht="21.75" customHeight="1" x14ac:dyDescent="0.2">
      <c r="A23" s="352" t="s">
        <v>177</v>
      </c>
      <c r="B23" s="353"/>
      <c r="C23" s="226" t="s">
        <v>14</v>
      </c>
      <c r="D23" s="220" t="s">
        <v>31</v>
      </c>
      <c r="E23" s="220"/>
      <c r="F23" s="220"/>
      <c r="G23" s="220"/>
      <c r="H23" s="220" t="s">
        <v>32</v>
      </c>
      <c r="I23" s="220"/>
      <c r="J23" s="220"/>
      <c r="K23" s="220"/>
      <c r="L23" s="220" t="s">
        <v>33</v>
      </c>
      <c r="M23" s="220"/>
      <c r="N23" s="220"/>
      <c r="O23" s="220"/>
      <c r="P23" s="220" t="s">
        <v>34</v>
      </c>
      <c r="Q23" s="220"/>
      <c r="R23" s="220"/>
      <c r="S23" s="220"/>
      <c r="T23" s="311" t="s">
        <v>171</v>
      </c>
    </row>
    <row r="24" spans="1:20" ht="21.75" customHeight="1" x14ac:dyDescent="0.2">
      <c r="A24" s="354"/>
      <c r="B24" s="355"/>
      <c r="C24" s="225"/>
      <c r="D24" s="227" t="s">
        <v>37</v>
      </c>
      <c r="E24" s="228"/>
      <c r="F24" s="228"/>
      <c r="G24" s="229"/>
      <c r="H24" s="227" t="s">
        <v>37</v>
      </c>
      <c r="I24" s="228"/>
      <c r="J24" s="228"/>
      <c r="K24" s="229"/>
      <c r="L24" s="227" t="s">
        <v>37</v>
      </c>
      <c r="M24" s="228"/>
      <c r="N24" s="228"/>
      <c r="O24" s="229"/>
      <c r="P24" s="227" t="s">
        <v>37</v>
      </c>
      <c r="Q24" s="228"/>
      <c r="R24" s="228"/>
      <c r="S24" s="229"/>
      <c r="T24" s="312"/>
    </row>
    <row r="25" spans="1:20" ht="10.5" customHeight="1" x14ac:dyDescent="0.2">
      <c r="A25" s="223" t="s">
        <v>50</v>
      </c>
      <c r="B25" s="373" t="s">
        <v>51</v>
      </c>
      <c r="C25" s="22" t="s">
        <v>52</v>
      </c>
      <c r="D25" s="225">
        <v>10</v>
      </c>
      <c r="E25" s="225"/>
      <c r="F25" s="225"/>
      <c r="G25" s="225"/>
      <c r="H25" s="225">
        <v>10</v>
      </c>
      <c r="I25" s="225"/>
      <c r="J25" s="225"/>
      <c r="K25" s="225"/>
      <c r="L25" s="225">
        <v>10</v>
      </c>
      <c r="M25" s="225"/>
      <c r="N25" s="225"/>
      <c r="O25" s="225"/>
      <c r="P25" s="225">
        <v>10</v>
      </c>
      <c r="Q25" s="225"/>
      <c r="R25" s="225"/>
      <c r="S25" s="225"/>
      <c r="T25" s="310">
        <f>(D25+H25+L25+P25+D26+H26+L26+P26)/4</f>
        <v>10</v>
      </c>
    </row>
    <row r="26" spans="1:20" ht="10.5" customHeight="1" x14ac:dyDescent="0.2">
      <c r="A26" s="223"/>
      <c r="B26" s="374"/>
      <c r="C26" s="23" t="s">
        <v>178</v>
      </c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310"/>
    </row>
    <row r="27" spans="1:20" ht="10.5" customHeight="1" x14ac:dyDescent="0.2">
      <c r="A27" s="223" t="s">
        <v>54</v>
      </c>
      <c r="B27" s="331" t="s">
        <v>55</v>
      </c>
      <c r="C27" s="23" t="s">
        <v>56</v>
      </c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310">
        <f>(D27+H27+L27+P27+D28+H28+L28+P28)/4</f>
        <v>10</v>
      </c>
    </row>
    <row r="28" spans="1:20" ht="10.5" customHeight="1" x14ac:dyDescent="0.2">
      <c r="A28" s="223"/>
      <c r="B28" s="331"/>
      <c r="C28" s="23" t="s">
        <v>178</v>
      </c>
      <c r="D28" s="225">
        <v>10</v>
      </c>
      <c r="E28" s="225"/>
      <c r="F28" s="225"/>
      <c r="G28" s="225"/>
      <c r="H28" s="225">
        <v>10</v>
      </c>
      <c r="I28" s="225"/>
      <c r="J28" s="225"/>
      <c r="K28" s="225"/>
      <c r="L28" s="225">
        <v>10</v>
      </c>
      <c r="M28" s="225"/>
      <c r="N28" s="225"/>
      <c r="O28" s="225"/>
      <c r="P28" s="225">
        <v>10</v>
      </c>
      <c r="Q28" s="225"/>
      <c r="R28" s="225"/>
      <c r="S28" s="225"/>
      <c r="T28" s="310"/>
    </row>
    <row r="29" spans="1:20" ht="10.5" customHeight="1" x14ac:dyDescent="0.2">
      <c r="A29" s="223" t="s">
        <v>57</v>
      </c>
      <c r="B29" s="331" t="s">
        <v>58</v>
      </c>
      <c r="C29" s="13" t="s">
        <v>59</v>
      </c>
      <c r="D29" s="225"/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310">
        <f>(D29+H29+L29+P29+D30+H30+L30+P30)/4</f>
        <v>0</v>
      </c>
    </row>
    <row r="30" spans="1:20" ht="10.5" customHeight="1" x14ac:dyDescent="0.2">
      <c r="A30" s="292"/>
      <c r="B30" s="375"/>
      <c r="C30" s="24" t="s">
        <v>179</v>
      </c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310"/>
    </row>
    <row r="31" spans="1:20" ht="10.5" customHeight="1" x14ac:dyDescent="0.2">
      <c r="A31" s="243" t="s">
        <v>61</v>
      </c>
      <c r="B31" s="325" t="s">
        <v>62</v>
      </c>
      <c r="C31" s="26" t="s">
        <v>63</v>
      </c>
      <c r="D31" s="225">
        <v>10</v>
      </c>
      <c r="E31" s="225"/>
      <c r="F31" s="225"/>
      <c r="G31" s="225"/>
      <c r="H31" s="225">
        <v>10</v>
      </c>
      <c r="I31" s="225"/>
      <c r="J31" s="225"/>
      <c r="K31" s="225"/>
      <c r="L31" s="225">
        <v>10</v>
      </c>
      <c r="M31" s="225"/>
      <c r="N31" s="225"/>
      <c r="O31" s="225"/>
      <c r="P31" s="225">
        <v>10</v>
      </c>
      <c r="Q31" s="225"/>
      <c r="R31" s="225"/>
      <c r="S31" s="225"/>
      <c r="T31" s="313">
        <f>(D31+H31+L31+P31+D32+H32+L32+P32+D33+H33+L33+P33)/4</f>
        <v>10</v>
      </c>
    </row>
    <row r="32" spans="1:20" ht="10.5" customHeight="1" x14ac:dyDescent="0.2">
      <c r="A32" s="223"/>
      <c r="B32" s="331"/>
      <c r="C32" s="27" t="s">
        <v>180</v>
      </c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313"/>
    </row>
    <row r="33" spans="1:20" ht="10.5" customHeight="1" x14ac:dyDescent="0.2">
      <c r="A33" s="244"/>
      <c r="B33" s="326"/>
      <c r="C33" s="29" t="s">
        <v>181</v>
      </c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313"/>
    </row>
    <row r="34" spans="1:20" ht="18.75" customHeight="1" x14ac:dyDescent="0.2">
      <c r="A34" s="230" t="s">
        <v>66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2"/>
      <c r="T34" s="64">
        <f>T25+T27+T29+T31</f>
        <v>30</v>
      </c>
    </row>
    <row r="35" spans="1:20" ht="25.5" customHeight="1" x14ac:dyDescent="0.2">
      <c r="A35" s="233" t="s">
        <v>67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65">
        <f>T16+T22+T34</f>
        <v>87.4</v>
      </c>
    </row>
    <row r="36" spans="1:20" ht="18.75" customHeight="1" x14ac:dyDescent="0.2">
      <c r="A36" s="30" t="s">
        <v>182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6"/>
    </row>
    <row r="37" spans="1:20" ht="15" customHeight="1" x14ac:dyDescent="0.2">
      <c r="A37" s="32" t="s">
        <v>183</v>
      </c>
      <c r="B37" s="33"/>
      <c r="C37" s="33"/>
      <c r="D37" s="33"/>
      <c r="E37" s="33"/>
      <c r="F37" s="33"/>
      <c r="G37" s="33"/>
      <c r="H37" s="33"/>
      <c r="I37" s="33"/>
      <c r="J37" s="235" t="s">
        <v>184</v>
      </c>
      <c r="K37" s="235"/>
      <c r="L37" s="235"/>
      <c r="M37" s="235"/>
      <c r="N37" s="235"/>
      <c r="O37" s="236"/>
      <c r="P37" s="49" t="s">
        <v>185</v>
      </c>
      <c r="Q37" s="49" t="s">
        <v>186</v>
      </c>
      <c r="R37" s="67" t="s">
        <v>187</v>
      </c>
      <c r="S37" s="49" t="s">
        <v>188</v>
      </c>
      <c r="T37" s="68" t="s">
        <v>165</v>
      </c>
    </row>
    <row r="38" spans="1:20" ht="10.5" customHeight="1" x14ac:dyDescent="0.2">
      <c r="A38" s="293" t="s">
        <v>71</v>
      </c>
      <c r="B38" s="349" t="s">
        <v>189</v>
      </c>
      <c r="C38" s="240"/>
      <c r="D38" s="240"/>
      <c r="E38" s="240"/>
      <c r="F38" s="240"/>
      <c r="G38" s="240"/>
      <c r="H38" s="240"/>
      <c r="I38" s="240"/>
      <c r="J38" s="237" t="s">
        <v>190</v>
      </c>
      <c r="K38" s="237"/>
      <c r="L38" s="237"/>
      <c r="M38" s="237"/>
      <c r="N38" s="237"/>
      <c r="O38" s="237"/>
      <c r="P38" s="50">
        <v>10</v>
      </c>
      <c r="Q38" s="50">
        <v>10</v>
      </c>
      <c r="R38" s="50">
        <v>10</v>
      </c>
      <c r="S38" s="50">
        <v>10</v>
      </c>
      <c r="T38" s="69">
        <f>P38+Q38+R38+S38/4</f>
        <v>32.5</v>
      </c>
    </row>
    <row r="39" spans="1:20" ht="10.5" customHeight="1" x14ac:dyDescent="0.2">
      <c r="A39" s="294"/>
      <c r="B39" s="350"/>
      <c r="C39" s="350"/>
      <c r="D39" s="350"/>
      <c r="E39" s="350"/>
      <c r="F39" s="350"/>
      <c r="G39" s="350"/>
      <c r="H39" s="350"/>
      <c r="I39" s="350"/>
      <c r="J39" s="238" t="s">
        <v>191</v>
      </c>
      <c r="K39" s="238"/>
      <c r="L39" s="238"/>
      <c r="M39" s="238"/>
      <c r="N39" s="238"/>
      <c r="O39" s="238"/>
      <c r="P39" s="51"/>
      <c r="Q39" s="51"/>
      <c r="R39" s="51">
        <v>10</v>
      </c>
      <c r="S39" s="51"/>
      <c r="T39" s="69">
        <f t="shared" ref="T39:T43" si="1">P39+Q39+R39+S39/4</f>
        <v>10</v>
      </c>
    </row>
    <row r="40" spans="1:20" ht="10.5" customHeight="1" x14ac:dyDescent="0.2">
      <c r="A40" s="294"/>
      <c r="B40" s="350"/>
      <c r="C40" s="350"/>
      <c r="D40" s="350"/>
      <c r="E40" s="350"/>
      <c r="F40" s="350"/>
      <c r="G40" s="350"/>
      <c r="H40" s="350"/>
      <c r="I40" s="350"/>
      <c r="J40" s="238" t="s">
        <v>192</v>
      </c>
      <c r="K40" s="238"/>
      <c r="L40" s="238"/>
      <c r="M40" s="238"/>
      <c r="N40" s="238"/>
      <c r="O40" s="238"/>
      <c r="P40" s="51"/>
      <c r="Q40" s="51"/>
      <c r="R40" s="51"/>
      <c r="S40" s="51"/>
      <c r="T40" s="69">
        <f t="shared" si="1"/>
        <v>0</v>
      </c>
    </row>
    <row r="41" spans="1:20" ht="10.5" customHeight="1" x14ac:dyDescent="0.2">
      <c r="A41" s="294"/>
      <c r="B41" s="350"/>
      <c r="C41" s="350"/>
      <c r="D41" s="350"/>
      <c r="E41" s="350"/>
      <c r="F41" s="350"/>
      <c r="G41" s="350"/>
      <c r="H41" s="350"/>
      <c r="I41" s="350"/>
      <c r="J41" s="238" t="s">
        <v>193</v>
      </c>
      <c r="K41" s="238"/>
      <c r="L41" s="238"/>
      <c r="M41" s="238"/>
      <c r="N41" s="238"/>
      <c r="O41" s="238"/>
      <c r="P41" s="51"/>
      <c r="Q41" s="51"/>
      <c r="R41" s="51"/>
      <c r="S41" s="51"/>
      <c r="T41" s="69">
        <f t="shared" si="1"/>
        <v>0</v>
      </c>
    </row>
    <row r="42" spans="1:20" ht="10.5" customHeight="1" x14ac:dyDescent="0.2">
      <c r="A42" s="294"/>
      <c r="B42" s="350"/>
      <c r="C42" s="350"/>
      <c r="D42" s="350"/>
      <c r="E42" s="350"/>
      <c r="F42" s="350"/>
      <c r="G42" s="350"/>
      <c r="H42" s="350"/>
      <c r="I42" s="350"/>
      <c r="J42" s="238" t="s">
        <v>194</v>
      </c>
      <c r="K42" s="238"/>
      <c r="L42" s="238"/>
      <c r="M42" s="238"/>
      <c r="N42" s="238"/>
      <c r="O42" s="238"/>
      <c r="P42" s="51"/>
      <c r="Q42" s="51"/>
      <c r="R42" s="51"/>
      <c r="S42" s="51"/>
      <c r="T42" s="69">
        <f t="shared" si="1"/>
        <v>0</v>
      </c>
    </row>
    <row r="43" spans="1:20" ht="17.25" customHeight="1" x14ac:dyDescent="0.2">
      <c r="A43" s="295"/>
      <c r="B43" s="351"/>
      <c r="C43" s="351"/>
      <c r="D43" s="351"/>
      <c r="E43" s="351"/>
      <c r="F43" s="351"/>
      <c r="G43" s="351"/>
      <c r="H43" s="351"/>
      <c r="I43" s="351"/>
      <c r="J43" s="239" t="s">
        <v>195</v>
      </c>
      <c r="K43" s="239"/>
      <c r="L43" s="239"/>
      <c r="M43" s="239"/>
      <c r="N43" s="239"/>
      <c r="O43" s="239"/>
      <c r="P43" s="52"/>
      <c r="Q43" s="52"/>
      <c r="R43" s="52"/>
      <c r="S43" s="52"/>
      <c r="T43" s="69">
        <f t="shared" si="1"/>
        <v>0</v>
      </c>
    </row>
    <row r="44" spans="1:20" ht="16.5" customHeight="1" x14ac:dyDescent="0.2">
      <c r="A44" s="34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53"/>
      <c r="M44" s="53"/>
      <c r="N44" s="53"/>
      <c r="O44" s="54"/>
      <c r="P44" s="55"/>
      <c r="Q44" s="55"/>
      <c r="R44" s="55"/>
      <c r="S44" s="55"/>
      <c r="T44" s="70">
        <f>T38+T39+T40+T41+T42+T43</f>
        <v>42.5</v>
      </c>
    </row>
    <row r="45" spans="1:20" ht="11.25" customHeight="1" x14ac:dyDescent="0.2">
      <c r="A45" s="243" t="s">
        <v>79</v>
      </c>
      <c r="B45" s="226" t="s">
        <v>80</v>
      </c>
      <c r="C45" s="220"/>
      <c r="D45" s="220"/>
      <c r="E45" s="220"/>
      <c r="F45" s="220"/>
      <c r="G45" s="220"/>
      <c r="H45" s="220"/>
      <c r="I45" s="220"/>
      <c r="J45" s="237" t="s">
        <v>94</v>
      </c>
      <c r="K45" s="237"/>
      <c r="L45" s="237"/>
      <c r="M45" s="237"/>
      <c r="N45" s="237"/>
      <c r="O45" s="237"/>
      <c r="P45" s="50"/>
      <c r="Q45" s="50">
        <v>10</v>
      </c>
      <c r="R45" s="50"/>
      <c r="S45" s="50"/>
      <c r="T45" s="69">
        <f>P45+Q45+R45+S45</f>
        <v>10</v>
      </c>
    </row>
    <row r="46" spans="1:20" ht="11.25" customHeight="1" x14ac:dyDescent="0.2">
      <c r="A46" s="223"/>
      <c r="B46" s="216"/>
      <c r="C46" s="216"/>
      <c r="D46" s="216"/>
      <c r="E46" s="216"/>
      <c r="F46" s="216"/>
      <c r="G46" s="216"/>
      <c r="H46" s="216"/>
      <c r="I46" s="216"/>
      <c r="J46" s="238" t="s">
        <v>196</v>
      </c>
      <c r="K46" s="238"/>
      <c r="L46" s="238"/>
      <c r="M46" s="238"/>
      <c r="N46" s="238"/>
      <c r="O46" s="238"/>
      <c r="P46" s="51"/>
      <c r="Q46" s="51">
        <v>50</v>
      </c>
      <c r="R46" s="51"/>
      <c r="S46" s="51"/>
      <c r="T46" s="69">
        <f t="shared" ref="T46:T49" si="2">P46+Q46+R46+S46</f>
        <v>50</v>
      </c>
    </row>
    <row r="47" spans="1:20" ht="11.25" customHeight="1" x14ac:dyDescent="0.2">
      <c r="A47" s="223"/>
      <c r="B47" s="216"/>
      <c r="C47" s="216"/>
      <c r="D47" s="216"/>
      <c r="E47" s="216"/>
      <c r="F47" s="216"/>
      <c r="G47" s="216"/>
      <c r="H47" s="216"/>
      <c r="I47" s="216"/>
      <c r="J47" s="238" t="s">
        <v>197</v>
      </c>
      <c r="K47" s="238"/>
      <c r="L47" s="238"/>
      <c r="M47" s="238"/>
      <c r="N47" s="238"/>
      <c r="O47" s="238"/>
      <c r="P47" s="51"/>
      <c r="Q47" s="51"/>
      <c r="R47" s="51"/>
      <c r="S47" s="51"/>
      <c r="T47" s="69">
        <f t="shared" si="2"/>
        <v>0</v>
      </c>
    </row>
    <row r="48" spans="1:20" ht="11.25" customHeight="1" x14ac:dyDescent="0.2">
      <c r="A48" s="223"/>
      <c r="B48" s="216"/>
      <c r="C48" s="216"/>
      <c r="D48" s="216"/>
      <c r="E48" s="216"/>
      <c r="F48" s="216"/>
      <c r="G48" s="216"/>
      <c r="H48" s="216"/>
      <c r="I48" s="216"/>
      <c r="J48" s="238" t="s">
        <v>198</v>
      </c>
      <c r="K48" s="238"/>
      <c r="L48" s="238"/>
      <c r="M48" s="238"/>
      <c r="N48" s="238"/>
      <c r="O48" s="238"/>
      <c r="P48" s="51"/>
      <c r="Q48" s="51"/>
      <c r="R48" s="51"/>
      <c r="S48" s="51"/>
      <c r="T48" s="69">
        <f t="shared" si="2"/>
        <v>0</v>
      </c>
    </row>
    <row r="49" spans="1:20" ht="11.25" customHeight="1" x14ac:dyDescent="0.2">
      <c r="A49" s="223"/>
      <c r="B49" s="216"/>
      <c r="C49" s="216"/>
      <c r="D49" s="216"/>
      <c r="E49" s="216"/>
      <c r="F49" s="216"/>
      <c r="G49" s="216"/>
      <c r="H49" s="216"/>
      <c r="I49" s="216"/>
      <c r="J49" s="238" t="s">
        <v>199</v>
      </c>
      <c r="K49" s="238"/>
      <c r="L49" s="238"/>
      <c r="M49" s="238"/>
      <c r="N49" s="238"/>
      <c r="O49" s="238"/>
      <c r="P49" s="51"/>
      <c r="Q49" s="51"/>
      <c r="R49" s="51"/>
      <c r="S49" s="51"/>
      <c r="T49" s="69">
        <f t="shared" si="2"/>
        <v>0</v>
      </c>
    </row>
    <row r="50" spans="1:20" ht="18.75" customHeight="1" x14ac:dyDescent="0.2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56"/>
      <c r="M50" s="56"/>
      <c r="N50" s="56"/>
      <c r="O50" s="56"/>
      <c r="P50" s="57"/>
      <c r="Q50" s="55"/>
      <c r="R50" s="55"/>
      <c r="S50" s="71"/>
      <c r="T50" s="72">
        <f>T45+T46+T47+T48+T49</f>
        <v>60</v>
      </c>
    </row>
    <row r="51" spans="1:20" ht="18.75" customHeight="1" x14ac:dyDescent="0.2">
      <c r="A51" s="243" t="s">
        <v>81</v>
      </c>
      <c r="B51" s="226" t="s">
        <v>82</v>
      </c>
      <c r="C51" s="220"/>
      <c r="D51" s="220"/>
      <c r="E51" s="220"/>
      <c r="F51" s="220"/>
      <c r="G51" s="220"/>
      <c r="H51" s="220"/>
      <c r="I51" s="220"/>
      <c r="J51" s="237" t="s">
        <v>94</v>
      </c>
      <c r="K51" s="237"/>
      <c r="L51" s="237"/>
      <c r="M51" s="237"/>
      <c r="N51" s="237"/>
      <c r="O51" s="237"/>
      <c r="P51" s="50"/>
      <c r="Q51" s="50"/>
      <c r="R51" s="50">
        <v>10</v>
      </c>
      <c r="S51" s="50"/>
      <c r="T51" s="69">
        <f>P51+Q51+R51+S51</f>
        <v>10</v>
      </c>
    </row>
    <row r="52" spans="1:20" ht="18.75" customHeight="1" x14ac:dyDescent="0.2">
      <c r="A52" s="223"/>
      <c r="B52" s="216"/>
      <c r="C52" s="216"/>
      <c r="D52" s="216"/>
      <c r="E52" s="216"/>
      <c r="F52" s="216"/>
      <c r="G52" s="216"/>
      <c r="H52" s="216"/>
      <c r="I52" s="216"/>
      <c r="J52" s="238" t="s">
        <v>196</v>
      </c>
      <c r="K52" s="238"/>
      <c r="L52" s="238"/>
      <c r="M52" s="238"/>
      <c r="N52" s="238"/>
      <c r="O52" s="238"/>
      <c r="P52" s="51"/>
      <c r="Q52" s="51"/>
      <c r="R52" s="51"/>
      <c r="S52" s="51"/>
      <c r="T52" s="69">
        <f t="shared" ref="T52:T55" si="3">P52+Q52+R52+S52</f>
        <v>0</v>
      </c>
    </row>
    <row r="53" spans="1:20" ht="18.75" customHeight="1" x14ac:dyDescent="0.2">
      <c r="A53" s="223"/>
      <c r="B53" s="216"/>
      <c r="C53" s="216"/>
      <c r="D53" s="216"/>
      <c r="E53" s="216"/>
      <c r="F53" s="216"/>
      <c r="G53" s="216"/>
      <c r="H53" s="216"/>
      <c r="I53" s="216"/>
      <c r="J53" s="238" t="s">
        <v>197</v>
      </c>
      <c r="K53" s="238"/>
      <c r="L53" s="238"/>
      <c r="M53" s="238"/>
      <c r="N53" s="238"/>
      <c r="O53" s="238"/>
      <c r="P53" s="51"/>
      <c r="Q53" s="51"/>
      <c r="R53" s="51"/>
      <c r="S53" s="51"/>
      <c r="T53" s="69">
        <f t="shared" si="3"/>
        <v>0</v>
      </c>
    </row>
    <row r="54" spans="1:20" ht="18.75" customHeight="1" x14ac:dyDescent="0.2">
      <c r="A54" s="223"/>
      <c r="B54" s="216"/>
      <c r="C54" s="216"/>
      <c r="D54" s="216"/>
      <c r="E54" s="216"/>
      <c r="F54" s="216"/>
      <c r="G54" s="216"/>
      <c r="H54" s="216"/>
      <c r="I54" s="216"/>
      <c r="J54" s="238" t="s">
        <v>198</v>
      </c>
      <c r="K54" s="238"/>
      <c r="L54" s="238"/>
      <c r="M54" s="238"/>
      <c r="N54" s="238"/>
      <c r="O54" s="238"/>
      <c r="P54" s="51"/>
      <c r="Q54" s="51"/>
      <c r="R54" s="51"/>
      <c r="S54" s="51"/>
      <c r="T54" s="69">
        <f t="shared" si="3"/>
        <v>0</v>
      </c>
    </row>
    <row r="55" spans="1:20" ht="18.75" customHeight="1" x14ac:dyDescent="0.2">
      <c r="A55" s="223"/>
      <c r="B55" s="216"/>
      <c r="C55" s="216"/>
      <c r="D55" s="216"/>
      <c r="E55" s="216"/>
      <c r="F55" s="216"/>
      <c r="G55" s="216"/>
      <c r="H55" s="216"/>
      <c r="I55" s="216"/>
      <c r="J55" s="238" t="s">
        <v>199</v>
      </c>
      <c r="K55" s="238"/>
      <c r="L55" s="238"/>
      <c r="M55" s="238"/>
      <c r="N55" s="238"/>
      <c r="O55" s="238"/>
      <c r="P55" s="51"/>
      <c r="Q55" s="51"/>
      <c r="R55" s="51"/>
      <c r="S55" s="51"/>
      <c r="T55" s="69">
        <f t="shared" si="3"/>
        <v>0</v>
      </c>
    </row>
    <row r="56" spans="1:20" ht="18.75" customHeight="1" x14ac:dyDescent="0.2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56"/>
      <c r="M56" s="56"/>
      <c r="N56" s="56"/>
      <c r="O56" s="56"/>
      <c r="P56" s="57"/>
      <c r="Q56" s="55"/>
      <c r="R56" s="55"/>
      <c r="S56" s="71"/>
      <c r="T56" s="72">
        <f>T51+T52+T53+T54+T55</f>
        <v>10</v>
      </c>
    </row>
    <row r="57" spans="1:20" ht="9.75" customHeight="1" x14ac:dyDescent="0.2">
      <c r="A57" s="243" t="s">
        <v>83</v>
      </c>
      <c r="B57" s="255" t="s">
        <v>200</v>
      </c>
      <c r="C57" s="255"/>
      <c r="D57" s="255"/>
      <c r="E57" s="255"/>
      <c r="F57" s="255"/>
      <c r="G57" s="255"/>
      <c r="H57" s="255"/>
      <c r="I57" s="255"/>
      <c r="J57" s="237" t="s">
        <v>201</v>
      </c>
      <c r="K57" s="237"/>
      <c r="L57" s="237"/>
      <c r="M57" s="237"/>
      <c r="N57" s="237"/>
      <c r="O57" s="237"/>
      <c r="P57" s="50"/>
      <c r="Q57" s="50"/>
      <c r="R57" s="50"/>
      <c r="S57" s="50"/>
      <c r="T57" s="69">
        <f>P57+Q57+R57+S57</f>
        <v>0</v>
      </c>
    </row>
    <row r="58" spans="1:20" ht="9.75" customHeight="1" x14ac:dyDescent="0.2">
      <c r="A58" s="223"/>
      <c r="B58" s="219"/>
      <c r="C58" s="219"/>
      <c r="D58" s="219"/>
      <c r="E58" s="219"/>
      <c r="F58" s="219"/>
      <c r="G58" s="219"/>
      <c r="H58" s="219"/>
      <c r="I58" s="219"/>
      <c r="J58" s="238" t="s">
        <v>202</v>
      </c>
      <c r="K58" s="238"/>
      <c r="L58" s="238"/>
      <c r="M58" s="238"/>
      <c r="N58" s="238"/>
      <c r="O58" s="238"/>
      <c r="P58" s="51"/>
      <c r="Q58" s="51"/>
      <c r="R58" s="51"/>
      <c r="S58" s="51"/>
      <c r="T58" s="69">
        <f t="shared" ref="T58:T61" si="4">P58+Q58+R58+S58</f>
        <v>0</v>
      </c>
    </row>
    <row r="59" spans="1:20" ht="9.75" customHeight="1" x14ac:dyDescent="0.2">
      <c r="A59" s="223"/>
      <c r="B59" s="219"/>
      <c r="C59" s="219"/>
      <c r="D59" s="219"/>
      <c r="E59" s="219"/>
      <c r="F59" s="219"/>
      <c r="G59" s="219"/>
      <c r="H59" s="219"/>
      <c r="I59" s="219"/>
      <c r="J59" s="238" t="s">
        <v>203</v>
      </c>
      <c r="K59" s="238"/>
      <c r="L59" s="238"/>
      <c r="M59" s="238"/>
      <c r="N59" s="238"/>
      <c r="O59" s="238"/>
      <c r="P59" s="51"/>
      <c r="Q59" s="51"/>
      <c r="R59" s="51"/>
      <c r="S59" s="51"/>
      <c r="T59" s="69">
        <f t="shared" si="4"/>
        <v>0</v>
      </c>
    </row>
    <row r="60" spans="1:20" ht="9.75" customHeight="1" x14ac:dyDescent="0.2">
      <c r="A60" s="223"/>
      <c r="B60" s="219"/>
      <c r="C60" s="219"/>
      <c r="D60" s="219"/>
      <c r="E60" s="219"/>
      <c r="F60" s="219"/>
      <c r="G60" s="219"/>
      <c r="H60" s="219"/>
      <c r="I60" s="219"/>
      <c r="J60" s="238" t="s">
        <v>204</v>
      </c>
      <c r="K60" s="238"/>
      <c r="L60" s="238"/>
      <c r="M60" s="238"/>
      <c r="N60" s="238"/>
      <c r="O60" s="238"/>
      <c r="P60" s="51"/>
      <c r="Q60" s="51">
        <v>15</v>
      </c>
      <c r="R60" s="51">
        <v>15</v>
      </c>
      <c r="S60" s="51"/>
      <c r="T60" s="69">
        <f t="shared" si="4"/>
        <v>30</v>
      </c>
    </row>
    <row r="61" spans="1:20" ht="78" customHeight="1" x14ac:dyDescent="0.2">
      <c r="A61" s="244"/>
      <c r="B61" s="256"/>
      <c r="C61" s="256"/>
      <c r="D61" s="256"/>
      <c r="E61" s="256"/>
      <c r="F61" s="256"/>
      <c r="G61" s="256"/>
      <c r="H61" s="256"/>
      <c r="I61" s="256"/>
      <c r="J61" s="245" t="s">
        <v>205</v>
      </c>
      <c r="K61" s="245"/>
      <c r="L61" s="245"/>
      <c r="M61" s="245"/>
      <c r="N61" s="245"/>
      <c r="O61" s="245"/>
      <c r="P61" s="52"/>
      <c r="Q61" s="52">
        <v>1</v>
      </c>
      <c r="R61" s="52">
        <v>1</v>
      </c>
      <c r="S61" s="52"/>
      <c r="T61" s="69">
        <f t="shared" si="4"/>
        <v>2</v>
      </c>
    </row>
    <row r="62" spans="1:20" ht="16.5" customHeight="1" x14ac:dyDescent="0.2">
      <c r="A62" s="3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56"/>
      <c r="M62" s="56"/>
      <c r="N62" s="56"/>
      <c r="O62" s="56"/>
      <c r="P62" s="57"/>
      <c r="Q62" s="55"/>
      <c r="R62" s="55"/>
      <c r="S62" s="71"/>
      <c r="T62" s="73">
        <f>T57+T58+T59+T61</f>
        <v>2</v>
      </c>
    </row>
    <row r="63" spans="1:20" ht="18" customHeight="1" x14ac:dyDescent="0.2">
      <c r="A63" s="243" t="s">
        <v>89</v>
      </c>
      <c r="B63" s="249" t="s">
        <v>88</v>
      </c>
      <c r="C63" s="250"/>
      <c r="D63" s="250"/>
      <c r="E63" s="250"/>
      <c r="F63" s="250"/>
      <c r="G63" s="250"/>
      <c r="H63" s="250"/>
      <c r="I63" s="250"/>
      <c r="J63" s="237" t="s">
        <v>206</v>
      </c>
      <c r="K63" s="237"/>
      <c r="L63" s="237"/>
      <c r="M63" s="237"/>
      <c r="N63" s="237"/>
      <c r="O63" s="237"/>
      <c r="P63" s="50">
        <v>3</v>
      </c>
      <c r="Q63" s="50">
        <v>3</v>
      </c>
      <c r="R63" s="50">
        <v>3</v>
      </c>
      <c r="S63" s="50"/>
      <c r="T63" s="74">
        <f>P63+Q63+R63+S63</f>
        <v>9</v>
      </c>
    </row>
    <row r="64" spans="1:20" ht="10.5" customHeight="1" x14ac:dyDescent="0.2">
      <c r="A64" s="223"/>
      <c r="B64" s="251"/>
      <c r="C64" s="252"/>
      <c r="D64" s="252"/>
      <c r="E64" s="252"/>
      <c r="F64" s="252"/>
      <c r="G64" s="252"/>
      <c r="H64" s="252"/>
      <c r="I64" s="252"/>
      <c r="J64" s="238" t="s">
        <v>207</v>
      </c>
      <c r="K64" s="238"/>
      <c r="L64" s="238"/>
      <c r="M64" s="238"/>
      <c r="N64" s="238"/>
      <c r="O64" s="238"/>
      <c r="P64" s="51"/>
      <c r="Q64" s="51"/>
      <c r="R64" s="51"/>
      <c r="S64" s="51"/>
      <c r="T64" s="74">
        <f t="shared" ref="T64:T67" si="5">P64+Q64+R64+S64</f>
        <v>0</v>
      </c>
    </row>
    <row r="65" spans="1:20" ht="10.5" customHeight="1" x14ac:dyDescent="0.2">
      <c r="A65" s="223"/>
      <c r="B65" s="251"/>
      <c r="C65" s="252"/>
      <c r="D65" s="252"/>
      <c r="E65" s="252"/>
      <c r="F65" s="252"/>
      <c r="G65" s="252"/>
      <c r="H65" s="252"/>
      <c r="I65" s="252"/>
      <c r="J65" s="238" t="s">
        <v>208</v>
      </c>
      <c r="K65" s="238"/>
      <c r="L65" s="238"/>
      <c r="M65" s="238"/>
      <c r="N65" s="238"/>
      <c r="O65" s="238"/>
      <c r="P65" s="51"/>
      <c r="Q65" s="51"/>
      <c r="R65" s="51"/>
      <c r="S65" s="51"/>
      <c r="T65" s="74">
        <f t="shared" si="5"/>
        <v>0</v>
      </c>
    </row>
    <row r="66" spans="1:20" ht="10.5" customHeight="1" x14ac:dyDescent="0.2">
      <c r="A66" s="223"/>
      <c r="B66" s="251"/>
      <c r="C66" s="252"/>
      <c r="D66" s="252"/>
      <c r="E66" s="252"/>
      <c r="F66" s="252"/>
      <c r="G66" s="252"/>
      <c r="H66" s="252"/>
      <c r="I66" s="252"/>
      <c r="J66" s="238" t="s">
        <v>209</v>
      </c>
      <c r="K66" s="238"/>
      <c r="L66" s="238"/>
      <c r="M66" s="238"/>
      <c r="N66" s="238"/>
      <c r="O66" s="238"/>
      <c r="P66" s="51"/>
      <c r="Q66" s="51"/>
      <c r="R66" s="51"/>
      <c r="S66" s="51"/>
      <c r="T66" s="74">
        <f t="shared" si="5"/>
        <v>0</v>
      </c>
    </row>
    <row r="67" spans="1:20" ht="13.5" customHeight="1" x14ac:dyDescent="0.2">
      <c r="A67" s="244"/>
      <c r="B67" s="253"/>
      <c r="C67" s="254"/>
      <c r="D67" s="254"/>
      <c r="E67" s="254"/>
      <c r="F67" s="254"/>
      <c r="G67" s="254"/>
      <c r="H67" s="254"/>
      <c r="I67" s="254"/>
      <c r="J67" s="239" t="s">
        <v>210</v>
      </c>
      <c r="K67" s="239"/>
      <c r="L67" s="239"/>
      <c r="M67" s="239"/>
      <c r="N67" s="239"/>
      <c r="O67" s="239"/>
      <c r="P67" s="52"/>
      <c r="Q67" s="52"/>
      <c r="R67" s="52"/>
      <c r="S67" s="52"/>
      <c r="T67" s="74">
        <f t="shared" si="5"/>
        <v>0</v>
      </c>
    </row>
    <row r="68" spans="1:20" ht="21.75" customHeight="1" x14ac:dyDescent="0.2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56"/>
      <c r="M68" s="56"/>
      <c r="N68" s="56"/>
      <c r="O68" s="56"/>
      <c r="P68" s="57"/>
      <c r="Q68" s="55"/>
      <c r="R68" s="55"/>
      <c r="S68" s="71"/>
      <c r="T68" s="114">
        <f>T63+T64+T66+T67</f>
        <v>9</v>
      </c>
    </row>
    <row r="69" spans="1:20" ht="12" customHeight="1" x14ac:dyDescent="0.2">
      <c r="A69" s="243" t="s">
        <v>87</v>
      </c>
      <c r="B69" s="255" t="s">
        <v>90</v>
      </c>
      <c r="C69" s="255"/>
      <c r="D69" s="255"/>
      <c r="E69" s="255"/>
      <c r="F69" s="255"/>
      <c r="G69" s="255"/>
      <c r="H69" s="255"/>
      <c r="I69" s="255"/>
      <c r="J69" s="237" t="s">
        <v>207</v>
      </c>
      <c r="K69" s="237"/>
      <c r="L69" s="237"/>
      <c r="M69" s="237"/>
      <c r="N69" s="237"/>
      <c r="O69" s="237"/>
      <c r="P69" s="50"/>
      <c r="Q69" s="50"/>
      <c r="R69" s="50"/>
      <c r="S69" s="69"/>
      <c r="T69" s="115">
        <f>P69+Q69+R69+S69</f>
        <v>0</v>
      </c>
    </row>
    <row r="70" spans="1:20" ht="12" customHeight="1" x14ac:dyDescent="0.2">
      <c r="A70" s="223"/>
      <c r="B70" s="219"/>
      <c r="C70" s="219"/>
      <c r="D70" s="219"/>
      <c r="E70" s="219"/>
      <c r="F70" s="219"/>
      <c r="G70" s="219"/>
      <c r="H70" s="219"/>
      <c r="I70" s="219"/>
      <c r="J70" s="238" t="s">
        <v>211</v>
      </c>
      <c r="K70" s="238"/>
      <c r="L70" s="238"/>
      <c r="M70" s="238"/>
      <c r="N70" s="238"/>
      <c r="O70" s="238"/>
      <c r="P70" s="16"/>
      <c r="Q70" s="116"/>
      <c r="R70" s="51"/>
      <c r="S70" s="117"/>
      <c r="T70" s="115">
        <f t="shared" ref="T70:T72" si="6">P70+Q70+R70+S70</f>
        <v>0</v>
      </c>
    </row>
    <row r="71" spans="1:20" ht="12" customHeight="1" x14ac:dyDescent="0.2">
      <c r="A71" s="223"/>
      <c r="B71" s="219"/>
      <c r="C71" s="219"/>
      <c r="D71" s="219"/>
      <c r="E71" s="219"/>
      <c r="F71" s="219"/>
      <c r="G71" s="219"/>
      <c r="H71" s="219"/>
      <c r="I71" s="219"/>
      <c r="J71" s="238" t="s">
        <v>203</v>
      </c>
      <c r="K71" s="238"/>
      <c r="L71" s="238"/>
      <c r="M71" s="238"/>
      <c r="N71" s="238"/>
      <c r="O71" s="238"/>
      <c r="P71" s="16"/>
      <c r="Q71" s="116"/>
      <c r="R71" s="51"/>
      <c r="S71" s="117"/>
      <c r="T71" s="115">
        <f t="shared" si="6"/>
        <v>0</v>
      </c>
    </row>
    <row r="72" spans="1:20" ht="12" customHeight="1" x14ac:dyDescent="0.2">
      <c r="A72" s="244"/>
      <c r="B72" s="256"/>
      <c r="C72" s="256"/>
      <c r="D72" s="256"/>
      <c r="E72" s="256"/>
      <c r="F72" s="256"/>
      <c r="G72" s="256"/>
      <c r="H72" s="256"/>
      <c r="I72" s="256"/>
      <c r="J72" s="239" t="s">
        <v>212</v>
      </c>
      <c r="K72" s="239"/>
      <c r="L72" s="239"/>
      <c r="M72" s="239"/>
      <c r="N72" s="239"/>
      <c r="O72" s="239"/>
      <c r="P72" s="96"/>
      <c r="Q72" s="118"/>
      <c r="R72" s="52"/>
      <c r="S72" s="119"/>
      <c r="T72" s="115">
        <f t="shared" si="6"/>
        <v>0</v>
      </c>
    </row>
    <row r="73" spans="1:20" ht="9.75" customHeight="1" x14ac:dyDescent="0.2">
      <c r="A73" s="37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56"/>
      <c r="M73" s="56"/>
      <c r="N73" s="56"/>
      <c r="O73" s="56"/>
      <c r="P73" s="97"/>
      <c r="Q73" s="120"/>
      <c r="R73" s="121"/>
      <c r="S73" s="121"/>
      <c r="T73" s="122">
        <f>T69+T70+T71+T72</f>
        <v>0</v>
      </c>
    </row>
    <row r="74" spans="1:20" ht="21.75" customHeight="1" x14ac:dyDescent="0.2">
      <c r="A74" s="246" t="s">
        <v>213</v>
      </c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8"/>
      <c r="T74" s="123">
        <f>T44+T50+T62+T73</f>
        <v>104.5</v>
      </c>
    </row>
    <row r="75" spans="1:20" ht="9" customHeight="1" x14ac:dyDescent="0.2">
      <c r="A75" s="364" t="s">
        <v>214</v>
      </c>
      <c r="B75" s="365"/>
      <c r="C75" s="366"/>
      <c r="D75" s="370" t="s">
        <v>14</v>
      </c>
      <c r="E75" s="371"/>
      <c r="F75" s="371"/>
      <c r="G75" s="371"/>
      <c r="H75" s="365"/>
      <c r="I75" s="365"/>
      <c r="J75" s="365"/>
      <c r="K75" s="366"/>
      <c r="L75" s="220" t="s">
        <v>185</v>
      </c>
      <c r="M75" s="220"/>
      <c r="N75" s="226" t="s">
        <v>186</v>
      </c>
      <c r="O75" s="226"/>
      <c r="P75" s="240" t="s">
        <v>187</v>
      </c>
      <c r="Q75" s="240"/>
      <c r="R75" s="241" t="s">
        <v>188</v>
      </c>
      <c r="S75" s="242"/>
      <c r="T75" s="314" t="s">
        <v>215</v>
      </c>
    </row>
    <row r="76" spans="1:20" ht="17.25" customHeight="1" x14ac:dyDescent="0.2">
      <c r="A76" s="367"/>
      <c r="B76" s="368"/>
      <c r="C76" s="369"/>
      <c r="D76" s="372"/>
      <c r="E76" s="368"/>
      <c r="F76" s="368"/>
      <c r="G76" s="368"/>
      <c r="H76" s="368"/>
      <c r="I76" s="368"/>
      <c r="J76" s="368"/>
      <c r="K76" s="369"/>
      <c r="L76" s="47" t="s">
        <v>216</v>
      </c>
      <c r="M76" s="47" t="s">
        <v>217</v>
      </c>
      <c r="N76" s="47" t="s">
        <v>216</v>
      </c>
      <c r="O76" s="47" t="s">
        <v>217</v>
      </c>
      <c r="P76" s="18" t="s">
        <v>216</v>
      </c>
      <c r="Q76" s="18" t="s">
        <v>217</v>
      </c>
      <c r="R76" s="18" t="s">
        <v>216</v>
      </c>
      <c r="S76" s="18" t="s">
        <v>217</v>
      </c>
      <c r="T76" s="315"/>
    </row>
    <row r="77" spans="1:20" ht="11.25" customHeight="1" x14ac:dyDescent="0.2">
      <c r="A77" s="223" t="s">
        <v>71</v>
      </c>
      <c r="B77" s="360" t="s">
        <v>218</v>
      </c>
      <c r="C77" s="361"/>
      <c r="D77" s="209" t="s">
        <v>219</v>
      </c>
      <c r="E77" s="209"/>
      <c r="F77" s="209"/>
      <c r="G77" s="209"/>
      <c r="H77" s="209"/>
      <c r="I77" s="209"/>
      <c r="J77" s="209"/>
      <c r="K77" s="209"/>
      <c r="L77" s="98">
        <v>10</v>
      </c>
      <c r="M77" s="98">
        <v>10</v>
      </c>
      <c r="N77" s="99"/>
      <c r="O77" s="99"/>
      <c r="P77" s="51">
        <v>10</v>
      </c>
      <c r="Q77" s="51">
        <v>10</v>
      </c>
      <c r="R77" s="51"/>
      <c r="S77" s="51"/>
      <c r="T77" s="117">
        <f>L77+M77+N77+O77+P77+Q77+R77+S77</f>
        <v>40</v>
      </c>
    </row>
    <row r="78" spans="1:20" ht="11.25" customHeight="1" x14ac:dyDescent="0.2">
      <c r="A78" s="223"/>
      <c r="B78" s="362"/>
      <c r="C78" s="363"/>
      <c r="D78" s="209" t="s">
        <v>220</v>
      </c>
      <c r="E78" s="209"/>
      <c r="F78" s="209"/>
      <c r="G78" s="209"/>
      <c r="H78" s="209"/>
      <c r="I78" s="209"/>
      <c r="J78" s="209"/>
      <c r="K78" s="209"/>
      <c r="L78" s="98"/>
      <c r="M78" s="98"/>
      <c r="N78" s="99"/>
      <c r="O78" s="99"/>
      <c r="P78" s="51"/>
      <c r="Q78" s="51"/>
      <c r="R78" s="51"/>
      <c r="S78" s="51"/>
      <c r="T78" s="117">
        <f t="shared" ref="T78:T81" si="7">L78+M78+N78+O78+P78+Q78+R78+S78</f>
        <v>0</v>
      </c>
    </row>
    <row r="79" spans="1:20" ht="11.25" customHeight="1" x14ac:dyDescent="0.2">
      <c r="A79" s="223"/>
      <c r="B79" s="362"/>
      <c r="C79" s="363"/>
      <c r="D79" s="209" t="s">
        <v>221</v>
      </c>
      <c r="E79" s="209"/>
      <c r="F79" s="209"/>
      <c r="G79" s="209"/>
      <c r="H79" s="209"/>
      <c r="I79" s="209"/>
      <c r="J79" s="209"/>
      <c r="K79" s="209"/>
      <c r="L79" s="98"/>
      <c r="M79" s="98"/>
      <c r="N79" s="99"/>
      <c r="O79" s="99"/>
      <c r="P79" s="51"/>
      <c r="Q79" s="51"/>
      <c r="R79" s="51"/>
      <c r="S79" s="51"/>
      <c r="T79" s="117">
        <f t="shared" si="7"/>
        <v>0</v>
      </c>
    </row>
    <row r="80" spans="1:20" ht="11.25" customHeight="1" x14ac:dyDescent="0.2">
      <c r="A80" s="223"/>
      <c r="B80" s="362"/>
      <c r="C80" s="363"/>
      <c r="D80" s="209" t="s">
        <v>222</v>
      </c>
      <c r="E80" s="209"/>
      <c r="F80" s="209"/>
      <c r="G80" s="209"/>
      <c r="H80" s="209"/>
      <c r="I80" s="209"/>
      <c r="J80" s="209"/>
      <c r="K80" s="209"/>
      <c r="L80" s="98"/>
      <c r="M80" s="98"/>
      <c r="N80" s="99"/>
      <c r="O80" s="99"/>
      <c r="P80" s="51"/>
      <c r="Q80" s="51"/>
      <c r="R80" s="51"/>
      <c r="S80" s="51"/>
      <c r="T80" s="117">
        <f t="shared" si="7"/>
        <v>0</v>
      </c>
    </row>
    <row r="81" spans="1:20" ht="11.25" customHeight="1" x14ac:dyDescent="0.2">
      <c r="A81" s="223"/>
      <c r="B81" s="362"/>
      <c r="C81" s="363"/>
      <c r="D81" s="219" t="s">
        <v>223</v>
      </c>
      <c r="E81" s="219"/>
      <c r="F81" s="219"/>
      <c r="G81" s="219"/>
      <c r="H81" s="219"/>
      <c r="I81" s="219"/>
      <c r="J81" s="219"/>
      <c r="K81" s="219"/>
      <c r="L81" s="98"/>
      <c r="M81" s="98"/>
      <c r="N81" s="16"/>
      <c r="O81" s="16"/>
      <c r="P81" s="16"/>
      <c r="Q81" s="116"/>
      <c r="R81" s="51"/>
      <c r="S81" s="51"/>
      <c r="T81" s="117">
        <f t="shared" si="7"/>
        <v>0</v>
      </c>
    </row>
    <row r="82" spans="1:20" ht="23.25" customHeight="1" x14ac:dyDescent="0.2">
      <c r="A82" s="76"/>
      <c r="B82" s="77"/>
      <c r="C82" s="78"/>
      <c r="D82" s="40"/>
      <c r="E82" s="41"/>
      <c r="F82" s="41"/>
      <c r="G82" s="41"/>
      <c r="H82" s="41"/>
      <c r="I82" s="41"/>
      <c r="J82" s="41"/>
      <c r="K82" s="41"/>
      <c r="L82" s="41"/>
      <c r="M82" s="100"/>
      <c r="N82" s="97"/>
      <c r="O82" s="97"/>
      <c r="P82" s="97"/>
      <c r="Q82" s="120"/>
      <c r="R82" s="124"/>
      <c r="S82" s="125"/>
      <c r="T82" s="70">
        <f>T77+T78+T79+T80+T81</f>
        <v>40</v>
      </c>
    </row>
    <row r="83" spans="1:20" ht="15" customHeight="1" x14ac:dyDescent="0.2">
      <c r="A83" s="243" t="s">
        <v>79</v>
      </c>
      <c r="B83" s="324" t="s">
        <v>224</v>
      </c>
      <c r="C83" s="325"/>
      <c r="D83" s="298" t="s">
        <v>225</v>
      </c>
      <c r="E83" s="298"/>
      <c r="F83" s="298"/>
      <c r="G83" s="298"/>
      <c r="H83" s="298"/>
      <c r="I83" s="298"/>
      <c r="J83" s="298"/>
      <c r="K83" s="298"/>
      <c r="L83" s="101">
        <v>5</v>
      </c>
      <c r="M83" s="101">
        <v>5</v>
      </c>
      <c r="N83" s="102"/>
      <c r="O83" s="102"/>
      <c r="P83" s="102">
        <v>5</v>
      </c>
      <c r="Q83" s="101">
        <v>5</v>
      </c>
      <c r="R83" s="126"/>
      <c r="S83" s="126"/>
      <c r="T83" s="69">
        <f>L83+M83+N83+O83+P83+Q83+R83+S83</f>
        <v>20</v>
      </c>
    </row>
    <row r="84" spans="1:20" ht="15" customHeight="1" x14ac:dyDescent="0.2">
      <c r="A84" s="223"/>
      <c r="B84" s="331"/>
      <c r="C84" s="331"/>
      <c r="D84" s="209" t="s">
        <v>226</v>
      </c>
      <c r="E84" s="209"/>
      <c r="F84" s="209"/>
      <c r="G84" s="209"/>
      <c r="H84" s="209"/>
      <c r="I84" s="209"/>
      <c r="J84" s="209"/>
      <c r="K84" s="209"/>
      <c r="L84" s="98"/>
      <c r="M84" s="98"/>
      <c r="N84" s="16"/>
      <c r="O84" s="16"/>
      <c r="P84" s="16"/>
      <c r="Q84" s="116"/>
      <c r="R84" s="116"/>
      <c r="S84" s="116"/>
      <c r="T84" s="69">
        <f t="shared" ref="T84:T87" si="8">L84+M84+N84+O84+P84+Q84+R84+S84</f>
        <v>0</v>
      </c>
    </row>
    <row r="85" spans="1:20" ht="15" customHeight="1" x14ac:dyDescent="0.2">
      <c r="A85" s="223"/>
      <c r="B85" s="331"/>
      <c r="C85" s="331"/>
      <c r="D85" s="209" t="s">
        <v>227</v>
      </c>
      <c r="E85" s="209"/>
      <c r="F85" s="209"/>
      <c r="G85" s="209"/>
      <c r="H85" s="209"/>
      <c r="I85" s="209"/>
      <c r="J85" s="209"/>
      <c r="K85" s="209"/>
      <c r="L85" s="98"/>
      <c r="M85" s="98"/>
      <c r="N85" s="16">
        <v>7</v>
      </c>
      <c r="O85" s="16">
        <v>7</v>
      </c>
      <c r="P85" s="16"/>
      <c r="Q85" s="116"/>
      <c r="R85" s="116"/>
      <c r="S85" s="116"/>
      <c r="T85" s="69">
        <f t="shared" si="8"/>
        <v>14</v>
      </c>
    </row>
    <row r="86" spans="1:20" ht="15" customHeight="1" x14ac:dyDescent="0.2">
      <c r="A86" s="223"/>
      <c r="B86" s="331"/>
      <c r="C86" s="331"/>
      <c r="D86" s="209" t="s">
        <v>228</v>
      </c>
      <c r="E86" s="209"/>
      <c r="F86" s="209"/>
      <c r="G86" s="209"/>
      <c r="H86" s="209"/>
      <c r="I86" s="209"/>
      <c r="J86" s="209"/>
      <c r="K86" s="209"/>
      <c r="L86" s="98"/>
      <c r="M86" s="98"/>
      <c r="N86" s="16"/>
      <c r="O86" s="16"/>
      <c r="P86" s="16"/>
      <c r="Q86" s="116"/>
      <c r="R86" s="116"/>
      <c r="S86" s="116"/>
      <c r="T86" s="69">
        <f t="shared" si="8"/>
        <v>0</v>
      </c>
    </row>
    <row r="87" spans="1:20" ht="15" customHeight="1" x14ac:dyDescent="0.2">
      <c r="A87" s="244"/>
      <c r="B87" s="326"/>
      <c r="C87" s="326"/>
      <c r="D87" s="256" t="s">
        <v>229</v>
      </c>
      <c r="E87" s="256"/>
      <c r="F87" s="256"/>
      <c r="G87" s="256"/>
      <c r="H87" s="256"/>
      <c r="I87" s="256"/>
      <c r="J87" s="256"/>
      <c r="K87" s="256"/>
      <c r="L87" s="103"/>
      <c r="M87" s="103"/>
      <c r="N87" s="96"/>
      <c r="O87" s="96"/>
      <c r="P87" s="96"/>
      <c r="Q87" s="118"/>
      <c r="R87" s="118"/>
      <c r="S87" s="118"/>
      <c r="T87" s="69">
        <f t="shared" si="8"/>
        <v>0</v>
      </c>
    </row>
    <row r="88" spans="1:20" ht="19.5" customHeight="1" x14ac:dyDescent="0.2">
      <c r="A88" s="76"/>
      <c r="B88" s="77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97"/>
      <c r="O88" s="97"/>
      <c r="P88" s="97"/>
      <c r="Q88" s="120"/>
      <c r="R88" s="124"/>
      <c r="S88" s="125"/>
      <c r="T88" s="127">
        <f>T83+T84+T85+T86+T87</f>
        <v>34</v>
      </c>
    </row>
    <row r="89" spans="1:20" ht="12" customHeight="1" x14ac:dyDescent="0.2">
      <c r="A89" s="243" t="s">
        <v>81</v>
      </c>
      <c r="B89" s="324" t="s">
        <v>100</v>
      </c>
      <c r="C89" s="324"/>
      <c r="D89" s="298" t="s">
        <v>230</v>
      </c>
      <c r="E89" s="298"/>
      <c r="F89" s="298"/>
      <c r="G89" s="298"/>
      <c r="H89" s="298"/>
      <c r="I89" s="298"/>
      <c r="J89" s="298"/>
      <c r="K89" s="298"/>
      <c r="L89" s="101"/>
      <c r="M89" s="101"/>
      <c r="N89" s="102"/>
      <c r="O89" s="102"/>
      <c r="P89" s="102">
        <v>5</v>
      </c>
      <c r="Q89" s="102">
        <v>5</v>
      </c>
      <c r="R89" s="126"/>
      <c r="S89" s="126"/>
      <c r="T89" s="128">
        <f>L89+M89+N89+O89+P89+Q89+R89+S89</f>
        <v>10</v>
      </c>
    </row>
    <row r="90" spans="1:20" ht="12" customHeight="1" x14ac:dyDescent="0.2">
      <c r="A90" s="223"/>
      <c r="B90" s="224"/>
      <c r="C90" s="224"/>
      <c r="D90" s="209" t="s">
        <v>231</v>
      </c>
      <c r="E90" s="209"/>
      <c r="F90" s="209"/>
      <c r="G90" s="209"/>
      <c r="H90" s="209"/>
      <c r="I90" s="209"/>
      <c r="J90" s="209"/>
      <c r="K90" s="209"/>
      <c r="L90" s="98"/>
      <c r="M90" s="98"/>
      <c r="N90" s="16"/>
      <c r="O90" s="16"/>
      <c r="P90" s="16"/>
      <c r="Q90" s="116"/>
      <c r="R90" s="116"/>
      <c r="S90" s="116"/>
      <c r="T90" s="128">
        <f t="shared" ref="T90:T92" si="9">L90+M90+N90+O90+P90+Q90+R90+S90</f>
        <v>0</v>
      </c>
    </row>
    <row r="91" spans="1:20" ht="12" customHeight="1" x14ac:dyDescent="0.2">
      <c r="A91" s="223"/>
      <c r="B91" s="224"/>
      <c r="C91" s="224"/>
      <c r="D91" s="209" t="s">
        <v>232</v>
      </c>
      <c r="E91" s="209"/>
      <c r="F91" s="209"/>
      <c r="G91" s="209"/>
      <c r="H91" s="209"/>
      <c r="I91" s="209"/>
      <c r="J91" s="209"/>
      <c r="K91" s="209"/>
      <c r="L91" s="98"/>
      <c r="M91" s="98"/>
      <c r="N91" s="16"/>
      <c r="O91" s="16"/>
      <c r="P91" s="16"/>
      <c r="Q91" s="116"/>
      <c r="R91" s="116"/>
      <c r="S91" s="116"/>
      <c r="T91" s="128">
        <f t="shared" si="9"/>
        <v>0</v>
      </c>
    </row>
    <row r="92" spans="1:20" ht="12" customHeight="1" x14ac:dyDescent="0.2">
      <c r="A92" s="244"/>
      <c r="B92" s="359"/>
      <c r="C92" s="359"/>
      <c r="D92" s="286" t="s">
        <v>233</v>
      </c>
      <c r="E92" s="286"/>
      <c r="F92" s="286"/>
      <c r="G92" s="286"/>
      <c r="H92" s="286"/>
      <c r="I92" s="286"/>
      <c r="J92" s="286"/>
      <c r="K92" s="286"/>
      <c r="L92" s="104"/>
      <c r="M92" s="104"/>
      <c r="N92" s="96"/>
      <c r="O92" s="96"/>
      <c r="P92" s="96"/>
      <c r="Q92" s="118"/>
      <c r="R92" s="118"/>
      <c r="S92" s="118"/>
      <c r="T92" s="128">
        <f t="shared" si="9"/>
        <v>0</v>
      </c>
    </row>
    <row r="93" spans="1:20" ht="12" customHeight="1" x14ac:dyDescent="0.2">
      <c r="A93" s="37"/>
      <c r="B93" s="80"/>
      <c r="C93" s="39"/>
      <c r="D93" s="81"/>
      <c r="E93" s="81"/>
      <c r="F93" s="81"/>
      <c r="G93" s="81"/>
      <c r="H93" s="81"/>
      <c r="I93" s="105"/>
      <c r="J93" s="105"/>
      <c r="K93" s="105"/>
      <c r="L93" s="81"/>
      <c r="M93" s="81"/>
      <c r="N93" s="97"/>
      <c r="O93" s="97"/>
      <c r="P93" s="97"/>
      <c r="Q93" s="75"/>
      <c r="R93" s="121"/>
      <c r="S93" s="124"/>
      <c r="T93" s="129">
        <f>T89+T90+T91+T92</f>
        <v>10</v>
      </c>
    </row>
    <row r="94" spans="1:20" ht="12.75" customHeight="1" x14ac:dyDescent="0.2">
      <c r="A94" s="296" t="s">
        <v>87</v>
      </c>
      <c r="B94" s="358" t="s">
        <v>101</v>
      </c>
      <c r="C94" s="358"/>
      <c r="D94" s="298" t="s">
        <v>234</v>
      </c>
      <c r="E94" s="298"/>
      <c r="F94" s="298"/>
      <c r="G94" s="298"/>
      <c r="H94" s="298"/>
      <c r="I94" s="298"/>
      <c r="J94" s="298"/>
      <c r="K94" s="298"/>
      <c r="L94" s="101">
        <v>30</v>
      </c>
      <c r="M94" s="101"/>
      <c r="N94" s="102"/>
      <c r="O94" s="102"/>
      <c r="P94" s="102"/>
      <c r="Q94" s="126"/>
      <c r="R94" s="126"/>
      <c r="S94" s="126"/>
      <c r="T94" s="128">
        <f>L94+M94+N94+O94+P94+Q94+R94+S94</f>
        <v>30</v>
      </c>
    </row>
    <row r="95" spans="1:20" ht="12.75" customHeight="1" x14ac:dyDescent="0.2">
      <c r="A95" s="297"/>
      <c r="B95" s="343"/>
      <c r="C95" s="343"/>
      <c r="D95" s="286"/>
      <c r="E95" s="286"/>
      <c r="F95" s="286"/>
      <c r="G95" s="286"/>
      <c r="H95" s="286"/>
      <c r="I95" s="286"/>
      <c r="J95" s="286"/>
      <c r="K95" s="286"/>
      <c r="L95" s="106"/>
      <c r="M95" s="106"/>
      <c r="N95" s="96"/>
      <c r="O95" s="96"/>
      <c r="P95" s="96"/>
      <c r="Q95" s="118"/>
      <c r="R95" s="118"/>
      <c r="S95" s="118"/>
      <c r="T95" s="130"/>
    </row>
    <row r="96" spans="1:20" ht="0.75" customHeight="1" x14ac:dyDescent="0.2">
      <c r="A96" s="82"/>
      <c r="B96" s="83"/>
      <c r="C96" s="8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97"/>
      <c r="O96" s="97"/>
      <c r="P96" s="97"/>
      <c r="Q96" s="75"/>
      <c r="R96" s="131"/>
      <c r="S96" s="131"/>
      <c r="T96" s="132">
        <f>T94+T95</f>
        <v>30</v>
      </c>
    </row>
    <row r="97" spans="1:20" ht="15.75" customHeight="1" x14ac:dyDescent="0.2">
      <c r="A97" s="85" t="s">
        <v>89</v>
      </c>
      <c r="B97" s="299" t="s">
        <v>102</v>
      </c>
      <c r="C97" s="300"/>
      <c r="D97" s="301" t="s">
        <v>235</v>
      </c>
      <c r="E97" s="301"/>
      <c r="F97" s="301"/>
      <c r="G97" s="301"/>
      <c r="H97" s="301"/>
      <c r="I97" s="301"/>
      <c r="J97" s="301"/>
      <c r="K97" s="301"/>
      <c r="L97" s="107"/>
      <c r="M97" s="107"/>
      <c r="N97" s="108"/>
      <c r="O97" s="108"/>
      <c r="P97" s="108"/>
      <c r="Q97" s="133"/>
      <c r="R97" s="133"/>
      <c r="S97" s="133"/>
      <c r="T97" s="134">
        <f>L97+M97+N97+O97+P97+Q97+R97+S97</f>
        <v>0</v>
      </c>
    </row>
    <row r="98" spans="1:20" ht="12.75" customHeight="1" x14ac:dyDescent="0.2">
      <c r="A98" s="302" t="s">
        <v>236</v>
      </c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89"/>
      <c r="T98" s="134">
        <f>T82+T88+T93+T94+T97</f>
        <v>114</v>
      </c>
    </row>
    <row r="99" spans="1:20" ht="24" customHeight="1" x14ac:dyDescent="0.2">
      <c r="A99" s="304" t="s">
        <v>237</v>
      </c>
      <c r="B99" s="305"/>
      <c r="C99" s="305"/>
      <c r="D99" s="305"/>
      <c r="E99" s="305"/>
      <c r="F99" s="306"/>
      <c r="G99" s="307" t="s">
        <v>184</v>
      </c>
      <c r="H99" s="216"/>
      <c r="I99" s="216"/>
      <c r="J99" s="216"/>
      <c r="K99" s="216"/>
      <c r="L99" s="216"/>
      <c r="M99" s="216"/>
      <c r="N99" s="216"/>
      <c r="O99" s="216"/>
      <c r="P99" s="50" t="s">
        <v>185</v>
      </c>
      <c r="Q99" s="50" t="s">
        <v>186</v>
      </c>
      <c r="R99" s="50" t="s">
        <v>187</v>
      </c>
      <c r="S99" s="50" t="s">
        <v>188</v>
      </c>
      <c r="T99" s="69" t="s">
        <v>165</v>
      </c>
    </row>
    <row r="100" spans="1:20" ht="12" customHeight="1" x14ac:dyDescent="0.2">
      <c r="A100" s="19" t="s">
        <v>238</v>
      </c>
      <c r="B100" s="308" t="s">
        <v>239</v>
      </c>
      <c r="C100" s="257"/>
      <c r="D100" s="257"/>
      <c r="E100" s="257"/>
      <c r="F100" s="257"/>
      <c r="G100" s="257" t="s">
        <v>240</v>
      </c>
      <c r="H100" s="257"/>
      <c r="I100" s="257"/>
      <c r="J100" s="257"/>
      <c r="K100" s="257"/>
      <c r="L100" s="257"/>
      <c r="M100" s="257"/>
      <c r="N100" s="257"/>
      <c r="O100" s="257"/>
      <c r="P100" s="16"/>
      <c r="Q100" s="116"/>
      <c r="R100" s="116">
        <v>20</v>
      </c>
      <c r="S100" s="116"/>
      <c r="T100" s="135">
        <f>P100+Q100+R100+S100</f>
        <v>20</v>
      </c>
    </row>
    <row r="101" spans="1:20" ht="9.75" customHeight="1" x14ac:dyDescent="0.2">
      <c r="A101" s="223" t="s">
        <v>241</v>
      </c>
      <c r="B101" s="262" t="s">
        <v>242</v>
      </c>
      <c r="C101" s="263"/>
      <c r="D101" s="263"/>
      <c r="E101" s="263"/>
      <c r="F101" s="263"/>
      <c r="G101" s="257" t="s">
        <v>243</v>
      </c>
      <c r="H101" s="257"/>
      <c r="I101" s="257"/>
      <c r="J101" s="257"/>
      <c r="K101" s="257"/>
      <c r="L101" s="257"/>
      <c r="M101" s="257"/>
      <c r="N101" s="257"/>
      <c r="O101" s="257"/>
      <c r="P101" s="16"/>
      <c r="Q101" s="116"/>
      <c r="R101" s="116"/>
      <c r="S101" s="116"/>
      <c r="T101" s="135">
        <f t="shared" ref="T101:T103" si="10">P101+Q101+R101+S101</f>
        <v>0</v>
      </c>
    </row>
    <row r="102" spans="1:20" ht="9.75" customHeight="1" x14ac:dyDescent="0.2">
      <c r="A102" s="223"/>
      <c r="B102" s="263"/>
      <c r="C102" s="263"/>
      <c r="D102" s="263"/>
      <c r="E102" s="263"/>
      <c r="F102" s="263"/>
      <c r="G102" s="257" t="s">
        <v>244</v>
      </c>
      <c r="H102" s="257"/>
      <c r="I102" s="257"/>
      <c r="J102" s="257"/>
      <c r="K102" s="257"/>
      <c r="L102" s="257"/>
      <c r="M102" s="257"/>
      <c r="N102" s="257"/>
      <c r="O102" s="257"/>
      <c r="P102" s="16"/>
      <c r="Q102" s="116"/>
      <c r="R102" s="116"/>
      <c r="S102" s="116"/>
      <c r="T102" s="135">
        <f t="shared" si="10"/>
        <v>0</v>
      </c>
    </row>
    <row r="103" spans="1:20" ht="9.75" customHeight="1" x14ac:dyDescent="0.2">
      <c r="A103" s="223"/>
      <c r="B103" s="263"/>
      <c r="C103" s="263"/>
      <c r="D103" s="263"/>
      <c r="E103" s="263"/>
      <c r="F103" s="263"/>
      <c r="G103" s="257" t="s">
        <v>245</v>
      </c>
      <c r="H103" s="257"/>
      <c r="I103" s="257"/>
      <c r="J103" s="257"/>
      <c r="K103" s="257"/>
      <c r="L103" s="257"/>
      <c r="M103" s="257"/>
      <c r="N103" s="257"/>
      <c r="O103" s="257"/>
      <c r="P103" s="16"/>
      <c r="Q103" s="116"/>
      <c r="R103" s="116"/>
      <c r="S103" s="116"/>
      <c r="T103" s="135">
        <f t="shared" si="10"/>
        <v>0</v>
      </c>
    </row>
    <row r="104" spans="1:20" ht="9" customHeight="1" x14ac:dyDescent="0.2">
      <c r="A104" s="19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23"/>
      <c r="M104" s="23"/>
      <c r="N104" s="23"/>
      <c r="O104" s="23"/>
      <c r="P104" s="16"/>
      <c r="Q104" s="116"/>
      <c r="R104" s="136"/>
      <c r="S104" s="136"/>
      <c r="T104" s="137">
        <f>T100+T101+T102+T103</f>
        <v>20</v>
      </c>
    </row>
    <row r="105" spans="1:20" ht="9.75" customHeight="1" x14ac:dyDescent="0.2">
      <c r="A105" s="223" t="s">
        <v>246</v>
      </c>
      <c r="B105" s="262" t="s">
        <v>247</v>
      </c>
      <c r="C105" s="263"/>
      <c r="D105" s="263"/>
      <c r="E105" s="263"/>
      <c r="F105" s="263"/>
      <c r="G105" s="238" t="s">
        <v>248</v>
      </c>
      <c r="H105" s="238"/>
      <c r="I105" s="238"/>
      <c r="J105" s="238"/>
      <c r="K105" s="238"/>
      <c r="L105" s="238"/>
      <c r="M105" s="238"/>
      <c r="N105" s="238"/>
      <c r="O105" s="238"/>
      <c r="P105" s="16">
        <v>10</v>
      </c>
      <c r="Q105" s="116"/>
      <c r="R105" s="116">
        <v>10</v>
      </c>
      <c r="S105" s="116"/>
      <c r="T105" s="135">
        <f>P105+Q105+R105+S105</f>
        <v>20</v>
      </c>
    </row>
    <row r="106" spans="1:20" ht="9.75" customHeight="1" x14ac:dyDescent="0.2">
      <c r="A106" s="223"/>
      <c r="B106" s="263"/>
      <c r="C106" s="263"/>
      <c r="D106" s="263"/>
      <c r="E106" s="263"/>
      <c r="F106" s="263"/>
      <c r="G106" s="238" t="s">
        <v>249</v>
      </c>
      <c r="H106" s="238"/>
      <c r="I106" s="238"/>
      <c r="J106" s="238"/>
      <c r="K106" s="238"/>
      <c r="L106" s="238"/>
      <c r="M106" s="238"/>
      <c r="N106" s="238"/>
      <c r="O106" s="238"/>
      <c r="P106" s="16"/>
      <c r="Q106" s="116"/>
      <c r="R106" s="116"/>
      <c r="S106" s="116"/>
      <c r="T106" s="135">
        <f t="shared" ref="T106:T112" si="11">P106+Q106+R106+S106</f>
        <v>0</v>
      </c>
    </row>
    <row r="107" spans="1:20" ht="9.75" customHeight="1" x14ac:dyDescent="0.2">
      <c r="A107" s="223"/>
      <c r="B107" s="263"/>
      <c r="C107" s="263"/>
      <c r="D107" s="263"/>
      <c r="E107" s="263"/>
      <c r="F107" s="263"/>
      <c r="G107" s="238" t="s">
        <v>250</v>
      </c>
      <c r="H107" s="238"/>
      <c r="I107" s="238"/>
      <c r="J107" s="238"/>
      <c r="K107" s="238"/>
      <c r="L107" s="238"/>
      <c r="M107" s="238"/>
      <c r="N107" s="238"/>
      <c r="O107" s="238"/>
      <c r="P107" s="16"/>
      <c r="Q107" s="116"/>
      <c r="R107" s="116"/>
      <c r="S107" s="116"/>
      <c r="T107" s="135">
        <f t="shared" si="11"/>
        <v>0</v>
      </c>
    </row>
    <row r="108" spans="1:20" ht="9.75" customHeight="1" x14ac:dyDescent="0.2">
      <c r="A108" s="223"/>
      <c r="B108" s="263"/>
      <c r="C108" s="263"/>
      <c r="D108" s="263"/>
      <c r="E108" s="263"/>
      <c r="F108" s="263"/>
      <c r="G108" s="238" t="s">
        <v>251</v>
      </c>
      <c r="H108" s="238"/>
      <c r="I108" s="238"/>
      <c r="J108" s="238"/>
      <c r="K108" s="238"/>
      <c r="L108" s="238"/>
      <c r="M108" s="238"/>
      <c r="N108" s="238"/>
      <c r="O108" s="238"/>
      <c r="P108" s="16"/>
      <c r="Q108" s="116"/>
      <c r="R108" s="116"/>
      <c r="S108" s="116"/>
      <c r="T108" s="135">
        <f t="shared" si="11"/>
        <v>0</v>
      </c>
    </row>
    <row r="109" spans="1:20" ht="9.75" customHeight="1" x14ac:dyDescent="0.2">
      <c r="A109" s="223"/>
      <c r="B109" s="263"/>
      <c r="C109" s="263"/>
      <c r="D109" s="263"/>
      <c r="E109" s="263"/>
      <c r="F109" s="263"/>
      <c r="G109" s="238" t="s">
        <v>252</v>
      </c>
      <c r="H109" s="238"/>
      <c r="I109" s="238"/>
      <c r="J109" s="238"/>
      <c r="K109" s="238"/>
      <c r="L109" s="238"/>
      <c r="M109" s="238"/>
      <c r="N109" s="238"/>
      <c r="O109" s="238"/>
      <c r="P109" s="16"/>
      <c r="Q109" s="116"/>
      <c r="R109" s="116"/>
      <c r="S109" s="116"/>
      <c r="T109" s="135">
        <f t="shared" si="11"/>
        <v>0</v>
      </c>
    </row>
    <row r="110" spans="1:20" ht="9.75" customHeight="1" x14ac:dyDescent="0.2">
      <c r="A110" s="223"/>
      <c r="B110" s="263"/>
      <c r="C110" s="263"/>
      <c r="D110" s="263"/>
      <c r="E110" s="263"/>
      <c r="F110" s="263"/>
      <c r="G110" s="257" t="s">
        <v>253</v>
      </c>
      <c r="H110" s="257"/>
      <c r="I110" s="257"/>
      <c r="J110" s="257"/>
      <c r="K110" s="257"/>
      <c r="L110" s="257"/>
      <c r="M110" s="257"/>
      <c r="N110" s="257"/>
      <c r="O110" s="257"/>
      <c r="P110" s="16"/>
      <c r="Q110" s="116"/>
      <c r="R110" s="116"/>
      <c r="S110" s="116"/>
      <c r="T110" s="135">
        <f t="shared" si="11"/>
        <v>0</v>
      </c>
    </row>
    <row r="111" spans="1:20" ht="9.75" customHeight="1" x14ac:dyDescent="0.2">
      <c r="A111" s="223"/>
      <c r="B111" s="263"/>
      <c r="C111" s="263"/>
      <c r="D111" s="263"/>
      <c r="E111" s="263"/>
      <c r="F111" s="263"/>
      <c r="G111" s="257" t="s">
        <v>254</v>
      </c>
      <c r="H111" s="257"/>
      <c r="I111" s="257"/>
      <c r="J111" s="257"/>
      <c r="K111" s="257"/>
      <c r="L111" s="257"/>
      <c r="M111" s="257"/>
      <c r="N111" s="257"/>
      <c r="O111" s="257"/>
      <c r="P111" s="16"/>
      <c r="Q111" s="116"/>
      <c r="R111" s="116"/>
      <c r="S111" s="116"/>
      <c r="T111" s="135">
        <f t="shared" si="11"/>
        <v>0</v>
      </c>
    </row>
    <row r="112" spans="1:20" ht="9.75" customHeight="1" x14ac:dyDescent="0.2">
      <c r="A112" s="223"/>
      <c r="B112" s="263"/>
      <c r="C112" s="263"/>
      <c r="D112" s="263"/>
      <c r="E112" s="263"/>
      <c r="F112" s="263"/>
      <c r="G112" s="257" t="s">
        <v>255</v>
      </c>
      <c r="H112" s="257"/>
      <c r="I112" s="257"/>
      <c r="J112" s="257"/>
      <c r="K112" s="257"/>
      <c r="L112" s="257"/>
      <c r="M112" s="257"/>
      <c r="N112" s="257"/>
      <c r="O112" s="257"/>
      <c r="P112" s="16"/>
      <c r="Q112" s="116"/>
      <c r="R112" s="116"/>
      <c r="S112" s="116"/>
      <c r="T112" s="135">
        <f t="shared" si="11"/>
        <v>0</v>
      </c>
    </row>
    <row r="113" spans="1:20" ht="12" customHeight="1" x14ac:dyDescent="0.2">
      <c r="A113" s="19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23"/>
      <c r="M113" s="23"/>
      <c r="N113" s="23"/>
      <c r="O113" s="23"/>
      <c r="P113" s="16"/>
      <c r="Q113" s="116"/>
      <c r="R113" s="136"/>
      <c r="S113" s="136"/>
      <c r="T113" s="138">
        <f>T105+T106+T107+T108+T109+T110+T111+T112</f>
        <v>20</v>
      </c>
    </row>
    <row r="114" spans="1:20" ht="15" customHeight="1" x14ac:dyDescent="0.2">
      <c r="A114" s="223" t="s">
        <v>256</v>
      </c>
      <c r="B114" s="332" t="s">
        <v>257</v>
      </c>
      <c r="C114" s="332"/>
      <c r="D114" s="332"/>
      <c r="E114" s="332"/>
      <c r="F114" s="332"/>
      <c r="G114" s="238" t="s">
        <v>258</v>
      </c>
      <c r="H114" s="238"/>
      <c r="I114" s="238"/>
      <c r="J114" s="238"/>
      <c r="K114" s="238"/>
      <c r="L114" s="238"/>
      <c r="M114" s="238"/>
      <c r="N114" s="238"/>
      <c r="O114" s="238"/>
      <c r="P114" s="16">
        <v>10</v>
      </c>
      <c r="Q114" s="116">
        <v>10</v>
      </c>
      <c r="R114" s="116"/>
      <c r="S114" s="116"/>
      <c r="T114" s="135">
        <f>P114+Q114+R114+S114</f>
        <v>20</v>
      </c>
    </row>
    <row r="115" spans="1:20" ht="15" customHeight="1" x14ac:dyDescent="0.2">
      <c r="A115" s="244"/>
      <c r="B115" s="332"/>
      <c r="C115" s="332"/>
      <c r="D115" s="332"/>
      <c r="E115" s="332"/>
      <c r="F115" s="332"/>
      <c r="G115" s="238" t="s">
        <v>259</v>
      </c>
      <c r="H115" s="238"/>
      <c r="I115" s="238"/>
      <c r="J115" s="238"/>
      <c r="K115" s="238"/>
      <c r="L115" s="238"/>
      <c r="M115" s="238"/>
      <c r="N115" s="238"/>
      <c r="O115" s="238"/>
      <c r="P115" s="16"/>
      <c r="Q115" s="116"/>
      <c r="R115" s="116"/>
      <c r="S115" s="116"/>
      <c r="T115" s="139">
        <f>P115+Q115+R115+S116</f>
        <v>0</v>
      </c>
    </row>
    <row r="116" spans="1:20" ht="12" customHeight="1" x14ac:dyDescent="0.2">
      <c r="A116" s="87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109"/>
      <c r="M116" s="109"/>
      <c r="N116" s="109"/>
      <c r="O116" s="109"/>
      <c r="P116" s="110"/>
      <c r="Q116" s="140"/>
      <c r="R116" s="141"/>
      <c r="S116" s="142"/>
      <c r="T116" s="143">
        <f>T114+T115</f>
        <v>20</v>
      </c>
    </row>
    <row r="117" spans="1:20" ht="22.5" customHeight="1" x14ac:dyDescent="0.2">
      <c r="A117" s="258" t="s">
        <v>260</v>
      </c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60"/>
      <c r="T117" s="144">
        <f>T104+T113+T116</f>
        <v>60</v>
      </c>
    </row>
    <row r="118" spans="1:20" ht="15.75" customHeight="1" x14ac:dyDescent="0.2">
      <c r="A118" s="333" t="s">
        <v>261</v>
      </c>
      <c r="B118" s="261"/>
      <c r="C118" s="261"/>
      <c r="D118" s="261" t="s">
        <v>14</v>
      </c>
      <c r="E118" s="261"/>
      <c r="F118" s="261"/>
      <c r="G118" s="261"/>
      <c r="H118" s="261"/>
      <c r="I118" s="261"/>
      <c r="J118" s="261"/>
      <c r="K118" s="261"/>
      <c r="L118" s="261" t="s">
        <v>185</v>
      </c>
      <c r="M118" s="261"/>
      <c r="N118" s="226" t="s">
        <v>186</v>
      </c>
      <c r="O118" s="226"/>
      <c r="P118" s="240" t="s">
        <v>187</v>
      </c>
      <c r="Q118" s="240"/>
      <c r="R118" s="240" t="s">
        <v>188</v>
      </c>
      <c r="S118" s="240"/>
      <c r="T118" s="316" t="s">
        <v>165</v>
      </c>
    </row>
    <row r="119" spans="1:20" ht="18.75" customHeight="1" x14ac:dyDescent="0.2">
      <c r="A119" s="334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99" t="s">
        <v>216</v>
      </c>
      <c r="M119" s="99" t="s">
        <v>217</v>
      </c>
      <c r="N119" s="99" t="s">
        <v>216</v>
      </c>
      <c r="O119" s="99" t="s">
        <v>217</v>
      </c>
      <c r="P119" s="99" t="s">
        <v>216</v>
      </c>
      <c r="Q119" s="99" t="s">
        <v>217</v>
      </c>
      <c r="R119" s="99" t="s">
        <v>216</v>
      </c>
      <c r="S119" s="99" t="s">
        <v>217</v>
      </c>
      <c r="T119" s="315"/>
    </row>
    <row r="120" spans="1:20" ht="40.5" customHeight="1" x14ac:dyDescent="0.2">
      <c r="A120" s="19" t="s">
        <v>238</v>
      </c>
      <c r="B120" s="270" t="s">
        <v>262</v>
      </c>
      <c r="C120" s="271"/>
      <c r="D120" s="272" t="s">
        <v>263</v>
      </c>
      <c r="E120" s="262"/>
      <c r="F120" s="262"/>
      <c r="G120" s="262"/>
      <c r="H120" s="262"/>
      <c r="I120" s="262"/>
      <c r="J120" s="262"/>
      <c r="K120" s="262"/>
      <c r="L120" s="111">
        <v>20</v>
      </c>
      <c r="M120" s="111">
        <v>20</v>
      </c>
      <c r="N120" s="111">
        <v>20</v>
      </c>
      <c r="O120" s="111">
        <v>20</v>
      </c>
      <c r="P120" s="111">
        <v>20</v>
      </c>
      <c r="Q120" s="111">
        <v>20</v>
      </c>
      <c r="R120" s="111">
        <v>20</v>
      </c>
      <c r="S120" s="111">
        <v>20</v>
      </c>
      <c r="T120" s="135">
        <f>L120+M120+N120+O120+P120+Q120+R120+S120</f>
        <v>160</v>
      </c>
    </row>
    <row r="121" spans="1:20" ht="15.75" customHeight="1" x14ac:dyDescent="0.2">
      <c r="A121" s="273" t="s">
        <v>264</v>
      </c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89"/>
      <c r="T121" s="135">
        <f>L120+M120+N120+O120+P120+Q120+R120+S120</f>
        <v>160</v>
      </c>
    </row>
    <row r="122" spans="1:20" ht="17.25" customHeight="1" x14ac:dyDescent="0.2">
      <c r="A122" s="90" t="s">
        <v>265</v>
      </c>
      <c r="B122" s="91"/>
      <c r="C122" s="92"/>
      <c r="D122" s="93"/>
      <c r="E122" s="275" t="s">
        <v>184</v>
      </c>
      <c r="F122" s="276"/>
      <c r="G122" s="276"/>
      <c r="H122" s="276"/>
      <c r="I122" s="276"/>
      <c r="J122" s="276"/>
      <c r="K122" s="276"/>
      <c r="L122" s="276"/>
      <c r="M122" s="276"/>
      <c r="N122" s="276"/>
      <c r="O122" s="277"/>
      <c r="P122" s="49" t="s">
        <v>185</v>
      </c>
      <c r="Q122" s="49" t="s">
        <v>186</v>
      </c>
      <c r="R122" s="49" t="s">
        <v>187</v>
      </c>
      <c r="S122" s="49" t="s">
        <v>188</v>
      </c>
      <c r="T122" s="68" t="s">
        <v>165</v>
      </c>
    </row>
    <row r="123" spans="1:20" ht="12.75" customHeight="1" x14ac:dyDescent="0.2">
      <c r="A123" s="282" t="s">
        <v>71</v>
      </c>
      <c r="B123" s="329" t="s">
        <v>266</v>
      </c>
      <c r="C123" s="330"/>
      <c r="D123" s="330"/>
      <c r="E123" s="278" t="s">
        <v>219</v>
      </c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112"/>
      <c r="Q123" s="145"/>
      <c r="R123" s="145"/>
      <c r="S123" s="145"/>
      <c r="T123" s="146"/>
    </row>
    <row r="124" spans="1:20" ht="12.75" customHeight="1" x14ac:dyDescent="0.2">
      <c r="A124" s="223"/>
      <c r="B124" s="331"/>
      <c r="C124" s="331"/>
      <c r="D124" s="331"/>
      <c r="E124" s="209" t="s">
        <v>267</v>
      </c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98"/>
      <c r="Q124" s="51"/>
      <c r="R124" s="51"/>
      <c r="S124" s="51"/>
      <c r="T124" s="74"/>
    </row>
    <row r="125" spans="1:20" ht="12.75" customHeight="1" x14ac:dyDescent="0.2">
      <c r="A125" s="223"/>
      <c r="B125" s="331"/>
      <c r="C125" s="331"/>
      <c r="D125" s="331"/>
      <c r="E125" s="209" t="s">
        <v>268</v>
      </c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98"/>
      <c r="Q125" s="51"/>
      <c r="R125" s="51"/>
      <c r="S125" s="51"/>
      <c r="T125" s="74"/>
    </row>
    <row r="126" spans="1:20" ht="21" customHeight="1" x14ac:dyDescent="0.2">
      <c r="A126" s="223"/>
      <c r="B126" s="331"/>
      <c r="C126" s="331"/>
      <c r="D126" s="331"/>
      <c r="E126" s="209" t="s">
        <v>269</v>
      </c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98">
        <v>150</v>
      </c>
      <c r="Q126" s="51"/>
      <c r="R126" s="51"/>
      <c r="S126" s="51"/>
      <c r="T126" s="74"/>
    </row>
    <row r="127" spans="1:20" ht="17.25" customHeight="1" x14ac:dyDescent="0.2">
      <c r="A127" s="76"/>
      <c r="B127" s="94"/>
      <c r="C127" s="94"/>
      <c r="D127" s="94"/>
      <c r="E127" s="81"/>
      <c r="F127" s="81"/>
      <c r="G127" s="81"/>
      <c r="H127" s="81"/>
      <c r="I127" s="81"/>
      <c r="J127" s="81"/>
      <c r="K127" s="81"/>
      <c r="L127" s="113"/>
      <c r="M127" s="113"/>
      <c r="N127" s="113"/>
      <c r="O127" s="113"/>
      <c r="P127" s="97">
        <f>P123+P124+P125+P126</f>
        <v>150</v>
      </c>
      <c r="Q127" s="97">
        <f>Q123+Q124+Q125+Q126</f>
        <v>0</v>
      </c>
      <c r="R127" s="97">
        <f>R123+R124+R125+R126</f>
        <v>0</v>
      </c>
      <c r="S127" s="97">
        <f>S123+S124+S125+S126</f>
        <v>0</v>
      </c>
      <c r="T127" s="147">
        <f>P127+Q127+R127+S127</f>
        <v>150</v>
      </c>
    </row>
    <row r="128" spans="1:20" ht="27.75" customHeight="1" x14ac:dyDescent="0.2">
      <c r="A128" s="95"/>
      <c r="B128" s="279" t="s">
        <v>270</v>
      </c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1"/>
      <c r="Q128" s="281"/>
      <c r="R128" s="281"/>
      <c r="S128" s="148"/>
      <c r="T128" s="147">
        <f>P127:T127</f>
        <v>150</v>
      </c>
    </row>
    <row r="129" spans="1:20" ht="51.75" customHeight="1" x14ac:dyDescent="0.2">
      <c r="A129" s="283" t="s">
        <v>271</v>
      </c>
      <c r="B129" s="284"/>
      <c r="C129" s="284"/>
      <c r="D129" s="284"/>
      <c r="E129" s="264" t="s">
        <v>272</v>
      </c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151">
        <v>50</v>
      </c>
      <c r="Q129" s="151">
        <v>50</v>
      </c>
      <c r="R129" s="151">
        <v>50</v>
      </c>
      <c r="S129" s="151">
        <v>50</v>
      </c>
      <c r="T129" s="154">
        <f>P129+Q129+R129+S129</f>
        <v>200</v>
      </c>
    </row>
    <row r="130" spans="1:20" ht="22.5" customHeight="1" x14ac:dyDescent="0.2">
      <c r="A130" s="265" t="s">
        <v>273</v>
      </c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155">
        <f>T74+T98+T117+T121+T128</f>
        <v>588.5</v>
      </c>
    </row>
    <row r="131" spans="1:20" ht="23.25" customHeight="1" x14ac:dyDescent="0.2">
      <c r="A131" s="267" t="s">
        <v>274</v>
      </c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3"/>
      <c r="T131" s="156"/>
    </row>
    <row r="132" spans="1:20" ht="32.25" customHeight="1" x14ac:dyDescent="0.2">
      <c r="A132" s="327" t="s">
        <v>275</v>
      </c>
      <c r="B132" s="220"/>
      <c r="C132" s="220"/>
      <c r="D132" s="220" t="s">
        <v>184</v>
      </c>
      <c r="E132" s="220"/>
      <c r="F132" s="220"/>
      <c r="G132" s="220"/>
      <c r="H132" s="220"/>
      <c r="I132" s="220"/>
      <c r="J132" s="220"/>
      <c r="K132" s="220"/>
      <c r="L132" s="220" t="s">
        <v>185</v>
      </c>
      <c r="M132" s="220"/>
      <c r="N132" s="226" t="s">
        <v>186</v>
      </c>
      <c r="O132" s="226"/>
      <c r="P132" s="240" t="s">
        <v>187</v>
      </c>
      <c r="Q132" s="240"/>
      <c r="R132" s="240" t="s">
        <v>188</v>
      </c>
      <c r="S132" s="240"/>
      <c r="T132" s="316" t="s">
        <v>165</v>
      </c>
    </row>
    <row r="133" spans="1:20" ht="23.25" customHeight="1" x14ac:dyDescent="0.2">
      <c r="A133" s="328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152" t="s">
        <v>216</v>
      </c>
      <c r="M133" s="152" t="s">
        <v>217</v>
      </c>
      <c r="N133" s="152" t="s">
        <v>216</v>
      </c>
      <c r="O133" s="152" t="s">
        <v>217</v>
      </c>
      <c r="P133" s="152" t="s">
        <v>216</v>
      </c>
      <c r="Q133" s="152" t="s">
        <v>217</v>
      </c>
      <c r="R133" s="152" t="s">
        <v>216</v>
      </c>
      <c r="S133" s="152" t="s">
        <v>217</v>
      </c>
      <c r="T133" s="317"/>
    </row>
    <row r="134" spans="1:20" ht="18.75" customHeight="1" x14ac:dyDescent="0.2">
      <c r="A134" s="243" t="s">
        <v>276</v>
      </c>
      <c r="B134" s="324" t="s">
        <v>277</v>
      </c>
      <c r="C134" s="325"/>
      <c r="D134" s="269" t="s">
        <v>240</v>
      </c>
      <c r="E134" s="269"/>
      <c r="F134" s="269"/>
      <c r="G134" s="269"/>
      <c r="H134" s="269"/>
      <c r="I134" s="269"/>
      <c r="J134" s="269"/>
      <c r="K134" s="269"/>
      <c r="L134" s="102">
        <v>20</v>
      </c>
      <c r="M134" s="102">
        <v>20</v>
      </c>
      <c r="N134" s="102">
        <v>20</v>
      </c>
      <c r="O134" s="102">
        <v>20</v>
      </c>
      <c r="P134" s="102">
        <v>20</v>
      </c>
      <c r="Q134" s="102">
        <v>20</v>
      </c>
      <c r="R134" s="102">
        <v>20</v>
      </c>
      <c r="S134" s="102">
        <v>20</v>
      </c>
      <c r="T134" s="128">
        <f>L134+M134+N134+O134+P134+Q134+R134+S134</f>
        <v>160</v>
      </c>
    </row>
    <row r="135" spans="1:20" ht="18.75" customHeight="1" x14ac:dyDescent="0.2">
      <c r="A135" s="244"/>
      <c r="B135" s="326"/>
      <c r="C135" s="326"/>
      <c r="D135" s="286" t="s">
        <v>278</v>
      </c>
      <c r="E135" s="286"/>
      <c r="F135" s="286"/>
      <c r="G135" s="286"/>
      <c r="H135" s="286"/>
      <c r="I135" s="286"/>
      <c r="J135" s="286"/>
      <c r="K135" s="286"/>
      <c r="L135" s="104"/>
      <c r="M135" s="104"/>
      <c r="N135" s="96"/>
      <c r="O135" s="96"/>
      <c r="P135" s="96"/>
      <c r="Q135" s="118"/>
      <c r="R135" s="118"/>
      <c r="S135" s="118"/>
      <c r="T135" s="128">
        <f>L135+M135+N135+O135+P135+Q135+R135+S135</f>
        <v>0</v>
      </c>
    </row>
    <row r="136" spans="1:20" ht="4.5" customHeight="1" x14ac:dyDescent="0.2">
      <c r="A136" s="76"/>
      <c r="B136" s="94"/>
      <c r="C136" s="94"/>
      <c r="D136" s="81"/>
      <c r="E136" s="81"/>
      <c r="F136" s="81"/>
      <c r="G136" s="81"/>
      <c r="H136" s="81"/>
      <c r="I136" s="81"/>
      <c r="J136" s="81"/>
      <c r="K136" s="81"/>
      <c r="L136" s="153"/>
      <c r="M136" s="153"/>
      <c r="N136" s="97"/>
      <c r="O136" s="97"/>
      <c r="P136" s="97"/>
      <c r="Q136" s="120"/>
      <c r="R136" s="120"/>
      <c r="S136" s="120"/>
      <c r="T136" s="157">
        <f>T134+T135</f>
        <v>160</v>
      </c>
    </row>
    <row r="137" spans="1:20" ht="4.5" customHeight="1" x14ac:dyDescent="0.2">
      <c r="A137" s="87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110"/>
      <c r="M137" s="110"/>
      <c r="N137" s="110"/>
      <c r="O137" s="110"/>
      <c r="P137" s="110"/>
      <c r="Q137" s="140"/>
      <c r="R137" s="140"/>
      <c r="S137" s="140"/>
      <c r="T137" s="158" t="e">
        <f>#REF!+#REF!+#REF!</f>
        <v>#REF!</v>
      </c>
    </row>
    <row r="138" spans="1:20" ht="22.5" customHeight="1" x14ac:dyDescent="0.2">
      <c r="A138" s="258" t="s">
        <v>279</v>
      </c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87"/>
      <c r="T138" s="159">
        <f>T136</f>
        <v>160</v>
      </c>
    </row>
    <row r="139" spans="1:20" ht="20.25" customHeight="1" x14ac:dyDescent="0.2">
      <c r="A139" s="288" t="s">
        <v>280</v>
      </c>
      <c r="B139" s="289"/>
      <c r="C139" s="289"/>
      <c r="D139" s="289"/>
      <c r="E139" s="289"/>
      <c r="F139" s="289"/>
      <c r="G139" s="289" t="s">
        <v>184</v>
      </c>
      <c r="H139" s="289"/>
      <c r="I139" s="289"/>
      <c r="J139" s="289"/>
      <c r="K139" s="289"/>
      <c r="L139" s="289"/>
      <c r="M139" s="289"/>
      <c r="N139" s="289"/>
      <c r="O139" s="289"/>
      <c r="P139" s="50" t="s">
        <v>185</v>
      </c>
      <c r="Q139" s="50" t="s">
        <v>186</v>
      </c>
      <c r="R139" s="50" t="s">
        <v>187</v>
      </c>
      <c r="S139" s="50" t="s">
        <v>188</v>
      </c>
      <c r="T139" s="69" t="s">
        <v>165</v>
      </c>
    </row>
    <row r="140" spans="1:20" x14ac:dyDescent="0.2">
      <c r="A140" s="19" t="s">
        <v>276</v>
      </c>
      <c r="B140" s="290" t="s">
        <v>126</v>
      </c>
      <c r="C140" s="290"/>
      <c r="D140" s="290"/>
      <c r="E140" s="290"/>
      <c r="F140" s="290"/>
      <c r="G140" s="257" t="s">
        <v>281</v>
      </c>
      <c r="H140" s="257"/>
      <c r="I140" s="257"/>
      <c r="J140" s="257"/>
      <c r="K140" s="257"/>
      <c r="L140" s="257"/>
      <c r="M140" s="257"/>
      <c r="N140" s="257"/>
      <c r="O140" s="257"/>
      <c r="P140" s="16"/>
      <c r="Q140" s="116"/>
      <c r="R140" s="116"/>
      <c r="S140" s="116">
        <v>10</v>
      </c>
      <c r="T140" s="128">
        <f>P140+Q140+R140+S140</f>
        <v>10</v>
      </c>
    </row>
    <row r="141" spans="1:20" ht="25.5" customHeight="1" x14ac:dyDescent="0.2">
      <c r="A141" s="19" t="s">
        <v>282</v>
      </c>
      <c r="B141" s="291" t="s">
        <v>129</v>
      </c>
      <c r="C141" s="291"/>
      <c r="D141" s="291"/>
      <c r="E141" s="291"/>
      <c r="F141" s="291"/>
      <c r="G141" s="209" t="s">
        <v>281</v>
      </c>
      <c r="H141" s="209"/>
      <c r="I141" s="209"/>
      <c r="J141" s="209"/>
      <c r="K141" s="209"/>
      <c r="L141" s="209"/>
      <c r="M141" s="209"/>
      <c r="N141" s="209"/>
      <c r="O141" s="209"/>
      <c r="P141" s="16"/>
      <c r="Q141" s="116"/>
      <c r="R141" s="116"/>
      <c r="S141" s="116"/>
      <c r="T141" s="160">
        <f>P141+Q141+R141+S141</f>
        <v>0</v>
      </c>
    </row>
    <row r="142" spans="1:20" ht="25.5" customHeight="1" x14ac:dyDescent="0.2">
      <c r="A142" s="19" t="s">
        <v>283</v>
      </c>
      <c r="B142" s="224" t="s">
        <v>131</v>
      </c>
      <c r="C142" s="224"/>
      <c r="D142" s="224"/>
      <c r="E142" s="224"/>
      <c r="F142" s="224"/>
      <c r="G142" s="209" t="s">
        <v>281</v>
      </c>
      <c r="H142" s="209"/>
      <c r="I142" s="209"/>
      <c r="J142" s="209"/>
      <c r="K142" s="209"/>
      <c r="L142" s="209"/>
      <c r="M142" s="209"/>
      <c r="N142" s="209"/>
      <c r="O142" s="209"/>
      <c r="P142" s="16">
        <v>10</v>
      </c>
      <c r="Q142" s="116"/>
      <c r="R142" s="116">
        <v>10</v>
      </c>
      <c r="S142" s="116"/>
      <c r="T142" s="160">
        <f>P142+Q142+R142+S142</f>
        <v>20</v>
      </c>
    </row>
    <row r="143" spans="1:20" ht="25.5" customHeight="1" x14ac:dyDescent="0.2">
      <c r="A143" s="19" t="s">
        <v>284</v>
      </c>
      <c r="B143" s="224" t="s">
        <v>133</v>
      </c>
      <c r="C143" s="224"/>
      <c r="D143" s="224"/>
      <c r="E143" s="224"/>
      <c r="F143" s="224"/>
      <c r="G143" s="209" t="s">
        <v>281</v>
      </c>
      <c r="H143" s="209"/>
      <c r="I143" s="209"/>
      <c r="J143" s="209"/>
      <c r="K143" s="209"/>
      <c r="L143" s="209"/>
      <c r="M143" s="209"/>
      <c r="N143" s="209"/>
      <c r="O143" s="209"/>
      <c r="P143" s="16"/>
      <c r="Q143" s="116"/>
      <c r="R143" s="116"/>
      <c r="S143" s="116"/>
      <c r="T143" s="160">
        <f t="shared" ref="T143:T148" si="12">P143+Q143+R143+S143</f>
        <v>0</v>
      </c>
    </row>
    <row r="144" spans="1:20" ht="25.5" customHeight="1" x14ac:dyDescent="0.2">
      <c r="A144" s="19" t="s">
        <v>285</v>
      </c>
      <c r="B144" s="291" t="s">
        <v>135</v>
      </c>
      <c r="C144" s="291"/>
      <c r="D144" s="291"/>
      <c r="E144" s="291"/>
      <c r="F144" s="291"/>
      <c r="G144" s="209" t="s">
        <v>281</v>
      </c>
      <c r="H144" s="209"/>
      <c r="I144" s="209"/>
      <c r="J144" s="209"/>
      <c r="K144" s="209"/>
      <c r="L144" s="209"/>
      <c r="M144" s="209"/>
      <c r="N144" s="209"/>
      <c r="O144" s="209"/>
      <c r="P144" s="16"/>
      <c r="Q144" s="116"/>
      <c r="R144" s="116">
        <v>10</v>
      </c>
      <c r="S144" s="116"/>
      <c r="T144" s="160">
        <f t="shared" si="12"/>
        <v>10</v>
      </c>
    </row>
    <row r="145" spans="1:20" ht="15" customHeight="1" x14ac:dyDescent="0.2">
      <c r="A145" s="223" t="s">
        <v>286</v>
      </c>
      <c r="B145" s="224" t="s">
        <v>287</v>
      </c>
      <c r="C145" s="224"/>
      <c r="D145" s="224"/>
      <c r="E145" s="224"/>
      <c r="F145" s="224"/>
      <c r="G145" s="257" t="s">
        <v>288</v>
      </c>
      <c r="H145" s="257"/>
      <c r="I145" s="257"/>
      <c r="J145" s="257"/>
      <c r="K145" s="257"/>
      <c r="L145" s="257"/>
      <c r="M145" s="257"/>
      <c r="N145" s="257"/>
      <c r="O145" s="257"/>
      <c r="P145" s="16"/>
      <c r="Q145" s="116"/>
      <c r="R145" s="116"/>
      <c r="S145" s="116"/>
      <c r="T145" s="160">
        <f t="shared" si="12"/>
        <v>0</v>
      </c>
    </row>
    <row r="146" spans="1:20" ht="15" customHeight="1" x14ac:dyDescent="0.2">
      <c r="A146" s="223"/>
      <c r="B146" s="224"/>
      <c r="C146" s="224"/>
      <c r="D146" s="224"/>
      <c r="E146" s="224"/>
      <c r="F146" s="224"/>
      <c r="G146" s="257" t="s">
        <v>289</v>
      </c>
      <c r="H146" s="257"/>
      <c r="I146" s="257"/>
      <c r="J146" s="257"/>
      <c r="K146" s="257"/>
      <c r="L146" s="257"/>
      <c r="M146" s="257"/>
      <c r="N146" s="257"/>
      <c r="O146" s="257"/>
      <c r="P146" s="16"/>
      <c r="Q146" s="116"/>
      <c r="R146" s="116"/>
      <c r="S146" s="116"/>
      <c r="T146" s="160">
        <f t="shared" si="12"/>
        <v>0</v>
      </c>
    </row>
    <row r="147" spans="1:20" ht="15" customHeight="1" x14ac:dyDescent="0.2">
      <c r="A147" s="223"/>
      <c r="B147" s="224"/>
      <c r="C147" s="224"/>
      <c r="D147" s="224"/>
      <c r="E147" s="224"/>
      <c r="F147" s="224"/>
      <c r="G147" s="257" t="s">
        <v>290</v>
      </c>
      <c r="H147" s="257"/>
      <c r="I147" s="257"/>
      <c r="J147" s="257"/>
      <c r="K147" s="257"/>
      <c r="L147" s="257"/>
      <c r="M147" s="257"/>
      <c r="N147" s="257"/>
      <c r="O147" s="257"/>
      <c r="P147" s="16"/>
      <c r="Q147" s="116"/>
      <c r="R147" s="116"/>
      <c r="S147" s="116"/>
      <c r="T147" s="160">
        <f t="shared" si="12"/>
        <v>0</v>
      </c>
    </row>
    <row r="148" spans="1:20" ht="15" customHeight="1" x14ac:dyDescent="0.2">
      <c r="A148" s="223"/>
      <c r="B148" s="224"/>
      <c r="C148" s="224"/>
      <c r="D148" s="224"/>
      <c r="E148" s="224"/>
      <c r="F148" s="224"/>
      <c r="G148" s="257" t="s">
        <v>291</v>
      </c>
      <c r="H148" s="257"/>
      <c r="I148" s="257"/>
      <c r="J148" s="257"/>
      <c r="K148" s="257"/>
      <c r="L148" s="257"/>
      <c r="M148" s="257"/>
      <c r="N148" s="257"/>
      <c r="O148" s="257"/>
      <c r="P148" s="16"/>
      <c r="Q148" s="116"/>
      <c r="R148" s="116">
        <v>50</v>
      </c>
      <c r="S148" s="116">
        <v>50</v>
      </c>
      <c r="T148" s="160">
        <f t="shared" si="12"/>
        <v>100</v>
      </c>
    </row>
    <row r="149" spans="1:20" ht="10.5" customHeight="1" x14ac:dyDescent="0.2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3"/>
      <c r="M149" s="23"/>
      <c r="N149" s="23"/>
      <c r="O149" s="23"/>
      <c r="P149" s="16"/>
      <c r="Q149" s="116"/>
      <c r="R149" s="116"/>
      <c r="S149" s="116"/>
      <c r="T149" s="160"/>
    </row>
    <row r="150" spans="1:20" ht="21.75" customHeight="1" x14ac:dyDescent="0.2">
      <c r="A150" s="149" t="s">
        <v>292</v>
      </c>
      <c r="B150" s="285" t="s">
        <v>143</v>
      </c>
      <c r="C150" s="285"/>
      <c r="D150" s="285"/>
      <c r="E150" s="285"/>
      <c r="F150" s="285"/>
      <c r="G150" s="286" t="s">
        <v>281</v>
      </c>
      <c r="H150" s="286"/>
      <c r="I150" s="286"/>
      <c r="J150" s="286"/>
      <c r="K150" s="286"/>
      <c r="L150" s="286"/>
      <c r="M150" s="286"/>
      <c r="N150" s="286"/>
      <c r="O150" s="286"/>
      <c r="P150" s="96"/>
      <c r="Q150" s="118"/>
      <c r="R150" s="118"/>
      <c r="S150" s="118"/>
      <c r="T150" s="161">
        <f>P150+Q150+R150+S150</f>
        <v>0</v>
      </c>
    </row>
    <row r="151" spans="1:20" ht="21" customHeight="1" x14ac:dyDescent="0.2">
      <c r="A151" s="335" t="s">
        <v>293</v>
      </c>
      <c r="B151" s="336"/>
      <c r="C151" s="336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150"/>
      <c r="T151" s="162">
        <f>T140+T141+T142+T143+T144+T145+T146+T147+T148+T150</f>
        <v>140</v>
      </c>
    </row>
    <row r="152" spans="1:20" x14ac:dyDescent="0.2">
      <c r="A152" s="337" t="s">
        <v>294</v>
      </c>
      <c r="B152" s="338"/>
      <c r="C152" s="338"/>
      <c r="D152" s="338"/>
      <c r="E152" s="338"/>
      <c r="F152" s="338"/>
      <c r="G152" s="339" t="s">
        <v>184</v>
      </c>
      <c r="H152" s="339"/>
      <c r="I152" s="339"/>
      <c r="J152" s="339"/>
      <c r="K152" s="339"/>
      <c r="L152" s="339"/>
      <c r="M152" s="339"/>
      <c r="N152" s="339"/>
      <c r="O152" s="339"/>
      <c r="P152" s="49" t="s">
        <v>185</v>
      </c>
      <c r="Q152" s="49" t="s">
        <v>186</v>
      </c>
      <c r="R152" s="49" t="s">
        <v>187</v>
      </c>
      <c r="S152" s="49" t="s">
        <v>188</v>
      </c>
      <c r="T152" s="163" t="s">
        <v>171</v>
      </c>
    </row>
    <row r="153" spans="1:20" ht="15.75" customHeight="1" x14ac:dyDescent="0.2">
      <c r="A153" s="25" t="s">
        <v>276</v>
      </c>
      <c r="B153" s="340" t="s">
        <v>145</v>
      </c>
      <c r="C153" s="341"/>
      <c r="D153" s="341"/>
      <c r="E153" s="341"/>
      <c r="F153" s="342"/>
      <c r="G153" s="269" t="s">
        <v>295</v>
      </c>
      <c r="H153" s="269"/>
      <c r="I153" s="269"/>
      <c r="J153" s="269"/>
      <c r="K153" s="269"/>
      <c r="L153" s="269"/>
      <c r="M153" s="269"/>
      <c r="N153" s="269"/>
      <c r="O153" s="269"/>
      <c r="P153" s="102">
        <v>45</v>
      </c>
      <c r="Q153" s="126">
        <v>50</v>
      </c>
      <c r="R153" s="126">
        <v>50</v>
      </c>
      <c r="S153" s="126">
        <v>50</v>
      </c>
      <c r="T153" s="128">
        <f>P153+Q153+R153+S153</f>
        <v>195</v>
      </c>
    </row>
    <row r="154" spans="1:20" ht="19.5" customHeight="1" x14ac:dyDescent="0.2">
      <c r="A154" s="28" t="s">
        <v>282</v>
      </c>
      <c r="B154" s="343" t="s">
        <v>148</v>
      </c>
      <c r="C154" s="343"/>
      <c r="D154" s="343"/>
      <c r="E154" s="343"/>
      <c r="F154" s="343"/>
      <c r="G154" s="344" t="s">
        <v>296</v>
      </c>
      <c r="H154" s="344"/>
      <c r="I154" s="344"/>
      <c r="J154" s="344"/>
      <c r="K154" s="344"/>
      <c r="L154" s="344"/>
      <c r="M154" s="344"/>
      <c r="N154" s="344"/>
      <c r="O154" s="344"/>
      <c r="P154" s="96">
        <v>70</v>
      </c>
      <c r="Q154" s="118">
        <v>90</v>
      </c>
      <c r="R154" s="118">
        <v>100</v>
      </c>
      <c r="S154" s="118">
        <v>100</v>
      </c>
      <c r="T154" s="130">
        <f t="shared" ref="T154" si="13">P154+Q154+R154+S154</f>
        <v>360</v>
      </c>
    </row>
    <row r="155" spans="1:20" ht="15.75" customHeight="1" x14ac:dyDescent="0.2">
      <c r="A155" s="345" t="s">
        <v>297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162">
        <f>T153+T154</f>
        <v>555</v>
      </c>
    </row>
    <row r="156" spans="1:20" ht="15.75" customHeight="1" x14ac:dyDescent="0.2">
      <c r="A156" s="347" t="s">
        <v>298</v>
      </c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135">
        <f>T138+T151++T155</f>
        <v>855</v>
      </c>
    </row>
    <row r="157" spans="1:20" ht="15.75" customHeight="1" x14ac:dyDescent="0.2">
      <c r="A157" s="318" t="s">
        <v>152</v>
      </c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8">
        <f>T35+T130+T156</f>
        <v>1530.9</v>
      </c>
      <c r="T157" s="322"/>
    </row>
    <row r="158" spans="1:20" ht="21.75" customHeight="1" x14ac:dyDescent="0.2">
      <c r="A158" s="320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0"/>
      <c r="T158" s="323"/>
    </row>
  </sheetData>
  <mergeCells count="263">
    <mergeCell ref="B94:C95"/>
    <mergeCell ref="D94:K95"/>
    <mergeCell ref="B89:C92"/>
    <mergeCell ref="B83:C87"/>
    <mergeCell ref="B77:C81"/>
    <mergeCell ref="A75:C76"/>
    <mergeCell ref="D75:K76"/>
    <mergeCell ref="B69:I72"/>
    <mergeCell ref="B25:B26"/>
    <mergeCell ref="B27:B28"/>
    <mergeCell ref="B29:B30"/>
    <mergeCell ref="B31:B33"/>
    <mergeCell ref="J51:O51"/>
    <mergeCell ref="J52:O52"/>
    <mergeCell ref="J53:O53"/>
    <mergeCell ref="J54:O54"/>
    <mergeCell ref="A83:A87"/>
    <mergeCell ref="A89:A92"/>
    <mergeCell ref="T132:T133"/>
    <mergeCell ref="A157:R158"/>
    <mergeCell ref="S157:T158"/>
    <mergeCell ref="B145:F148"/>
    <mergeCell ref="B134:C135"/>
    <mergeCell ref="A132:C133"/>
    <mergeCell ref="D132:K133"/>
    <mergeCell ref="B123:D126"/>
    <mergeCell ref="B114:F115"/>
    <mergeCell ref="A118:C119"/>
    <mergeCell ref="D118:K119"/>
    <mergeCell ref="A151:R151"/>
    <mergeCell ref="A152:F152"/>
    <mergeCell ref="G152:O152"/>
    <mergeCell ref="B153:F153"/>
    <mergeCell ref="G153:O153"/>
    <mergeCell ref="B154:F154"/>
    <mergeCell ref="G154:O154"/>
    <mergeCell ref="A155:S155"/>
    <mergeCell ref="A156:S156"/>
    <mergeCell ref="B143:F143"/>
    <mergeCell ref="G143:O143"/>
    <mergeCell ref="B144:F144"/>
    <mergeCell ref="G144:O144"/>
    <mergeCell ref="T17:T18"/>
    <mergeCell ref="T19:T21"/>
    <mergeCell ref="T23:T24"/>
    <mergeCell ref="T25:T26"/>
    <mergeCell ref="T27:T28"/>
    <mergeCell ref="T29:T30"/>
    <mergeCell ref="T31:T33"/>
    <mergeCell ref="T75:T76"/>
    <mergeCell ref="T118:T119"/>
    <mergeCell ref="A94:A95"/>
    <mergeCell ref="A101:A103"/>
    <mergeCell ref="G101:O101"/>
    <mergeCell ref="G102:O102"/>
    <mergeCell ref="G103:O103"/>
    <mergeCell ref="D80:K80"/>
    <mergeCell ref="D81:K81"/>
    <mergeCell ref="D83:K83"/>
    <mergeCell ref="D84:K84"/>
    <mergeCell ref="D85:K85"/>
    <mergeCell ref="D86:K86"/>
    <mergeCell ref="D87:K87"/>
    <mergeCell ref="D89:K89"/>
    <mergeCell ref="D90:K90"/>
    <mergeCell ref="D91:K91"/>
    <mergeCell ref="D92:K92"/>
    <mergeCell ref="B97:C97"/>
    <mergeCell ref="D97:K97"/>
    <mergeCell ref="A98:R98"/>
    <mergeCell ref="A99:F99"/>
    <mergeCell ref="G99:O99"/>
    <mergeCell ref="B100:F100"/>
    <mergeCell ref="G100:O100"/>
    <mergeCell ref="B101:F103"/>
    <mergeCell ref="A25:A26"/>
    <mergeCell ref="A27:A28"/>
    <mergeCell ref="A29:A30"/>
    <mergeCell ref="A31:A33"/>
    <mergeCell ref="A38:A43"/>
    <mergeCell ref="A45:A49"/>
    <mergeCell ref="A51:A55"/>
    <mergeCell ref="A57:A61"/>
    <mergeCell ref="A63:A67"/>
    <mergeCell ref="G145:O145"/>
    <mergeCell ref="G146:O146"/>
    <mergeCell ref="G147:O147"/>
    <mergeCell ref="G148:O148"/>
    <mergeCell ref="B150:F150"/>
    <mergeCell ref="G150:O150"/>
    <mergeCell ref="D135:K135"/>
    <mergeCell ref="A138:S138"/>
    <mergeCell ref="A139:F139"/>
    <mergeCell ref="G139:O139"/>
    <mergeCell ref="B140:F140"/>
    <mergeCell ref="G140:O140"/>
    <mergeCell ref="B141:F141"/>
    <mergeCell ref="G141:O141"/>
    <mergeCell ref="B142:F142"/>
    <mergeCell ref="G142:O142"/>
    <mergeCell ref="A134:A135"/>
    <mergeCell ref="A145:A148"/>
    <mergeCell ref="E129:O129"/>
    <mergeCell ref="A130:S130"/>
    <mergeCell ref="A131:R131"/>
    <mergeCell ref="L132:M132"/>
    <mergeCell ref="N132:O132"/>
    <mergeCell ref="P132:Q132"/>
    <mergeCell ref="R132:S132"/>
    <mergeCell ref="D134:K134"/>
    <mergeCell ref="B120:C120"/>
    <mergeCell ref="D120:K120"/>
    <mergeCell ref="A121:R121"/>
    <mergeCell ref="E122:O122"/>
    <mergeCell ref="E123:O123"/>
    <mergeCell ref="E124:O124"/>
    <mergeCell ref="E125:O125"/>
    <mergeCell ref="E126:O126"/>
    <mergeCell ref="B128:R128"/>
    <mergeCell ref="A123:A126"/>
    <mergeCell ref="A129:D129"/>
    <mergeCell ref="G111:O111"/>
    <mergeCell ref="G112:O112"/>
    <mergeCell ref="G114:O114"/>
    <mergeCell ref="G115:O115"/>
    <mergeCell ref="A117:S117"/>
    <mergeCell ref="L118:M118"/>
    <mergeCell ref="N118:O118"/>
    <mergeCell ref="P118:Q118"/>
    <mergeCell ref="R118:S118"/>
    <mergeCell ref="B105:F112"/>
    <mergeCell ref="G105:O105"/>
    <mergeCell ref="G106:O106"/>
    <mergeCell ref="G107:O107"/>
    <mergeCell ref="G108:O108"/>
    <mergeCell ref="G109:O109"/>
    <mergeCell ref="G110:O110"/>
    <mergeCell ref="A105:A112"/>
    <mergeCell ref="A114:A115"/>
    <mergeCell ref="N75:O75"/>
    <mergeCell ref="P75:Q75"/>
    <mergeCell ref="R75:S75"/>
    <mergeCell ref="D77:K77"/>
    <mergeCell ref="D78:K78"/>
    <mergeCell ref="D79:K79"/>
    <mergeCell ref="A69:A72"/>
    <mergeCell ref="A77:A81"/>
    <mergeCell ref="J61:O61"/>
    <mergeCell ref="J63:O63"/>
    <mergeCell ref="J64:O64"/>
    <mergeCell ref="J65:O65"/>
    <mergeCell ref="J66:O66"/>
    <mergeCell ref="J67:O67"/>
    <mergeCell ref="J69:O69"/>
    <mergeCell ref="J70:O70"/>
    <mergeCell ref="J71:O71"/>
    <mergeCell ref="J72:O72"/>
    <mergeCell ref="A74:S74"/>
    <mergeCell ref="L75:M75"/>
    <mergeCell ref="B63:I67"/>
    <mergeCell ref="B57:I61"/>
    <mergeCell ref="J60:O60"/>
    <mergeCell ref="J40:O40"/>
    <mergeCell ref="J41:O41"/>
    <mergeCell ref="J42:O42"/>
    <mergeCell ref="J43:O43"/>
    <mergeCell ref="J45:O45"/>
    <mergeCell ref="J46:O46"/>
    <mergeCell ref="J47:O47"/>
    <mergeCell ref="J48:O48"/>
    <mergeCell ref="J49:O49"/>
    <mergeCell ref="A34:S34"/>
    <mergeCell ref="A35:S35"/>
    <mergeCell ref="J37:O37"/>
    <mergeCell ref="J38:O38"/>
    <mergeCell ref="J39:O39"/>
    <mergeCell ref="J55:O55"/>
    <mergeCell ref="J57:O57"/>
    <mergeCell ref="J58:O58"/>
    <mergeCell ref="J59:O59"/>
    <mergeCell ref="B51:I55"/>
    <mergeCell ref="B45:I49"/>
    <mergeCell ref="B38:I43"/>
    <mergeCell ref="D31:G31"/>
    <mergeCell ref="H31:K31"/>
    <mergeCell ref="L31:O31"/>
    <mergeCell ref="P31:S31"/>
    <mergeCell ref="D32:G32"/>
    <mergeCell ref="H32:K32"/>
    <mergeCell ref="L32:O32"/>
    <mergeCell ref="P32:S32"/>
    <mergeCell ref="D33:G33"/>
    <mergeCell ref="H33:K33"/>
    <mergeCell ref="L33:O33"/>
    <mergeCell ref="P33:S33"/>
    <mergeCell ref="D28:G28"/>
    <mergeCell ref="H28:K28"/>
    <mergeCell ref="L28:O28"/>
    <mergeCell ref="P28:S28"/>
    <mergeCell ref="D29:G29"/>
    <mergeCell ref="H29:K29"/>
    <mergeCell ref="L29:O29"/>
    <mergeCell ref="P29:S29"/>
    <mergeCell ref="D30:G30"/>
    <mergeCell ref="H30:K30"/>
    <mergeCell ref="L30:O30"/>
    <mergeCell ref="P30:S30"/>
    <mergeCell ref="D25:G25"/>
    <mergeCell ref="H25:K25"/>
    <mergeCell ref="L25:O25"/>
    <mergeCell ref="P25:S25"/>
    <mergeCell ref="D26:G26"/>
    <mergeCell ref="H26:K26"/>
    <mergeCell ref="L26:O26"/>
    <mergeCell ref="P26:S26"/>
    <mergeCell ref="D27:G27"/>
    <mergeCell ref="H27:K27"/>
    <mergeCell ref="L27:O27"/>
    <mergeCell ref="P27:S27"/>
    <mergeCell ref="D17:G17"/>
    <mergeCell ref="H17:K17"/>
    <mergeCell ref="L17:O17"/>
    <mergeCell ref="P17:S17"/>
    <mergeCell ref="A22:R22"/>
    <mergeCell ref="D23:G23"/>
    <mergeCell ref="H23:K23"/>
    <mergeCell ref="L23:O23"/>
    <mergeCell ref="P23:S23"/>
    <mergeCell ref="A19:A21"/>
    <mergeCell ref="B19:B21"/>
    <mergeCell ref="K19:K21"/>
    <mergeCell ref="O19:O21"/>
    <mergeCell ref="S19:S21"/>
    <mergeCell ref="C17:C18"/>
    <mergeCell ref="C23:C24"/>
    <mergeCell ref="G19:G21"/>
    <mergeCell ref="D24:G24"/>
    <mergeCell ref="H24:K24"/>
    <mergeCell ref="L24:O24"/>
    <mergeCell ref="P24:S24"/>
    <mergeCell ref="A23:B24"/>
    <mergeCell ref="A17:B18"/>
    <mergeCell ref="B1:T1"/>
    <mergeCell ref="A3:T3"/>
    <mergeCell ref="A4:T4"/>
    <mergeCell ref="B5:T5"/>
    <mergeCell ref="A9:T9"/>
    <mergeCell ref="D10:H10"/>
    <mergeCell ref="I10:M10"/>
    <mergeCell ref="O10:S10"/>
    <mergeCell ref="A16:R16"/>
    <mergeCell ref="A10:A11"/>
    <mergeCell ref="A12:A13"/>
    <mergeCell ref="A14:A15"/>
    <mergeCell ref="B10:B11"/>
    <mergeCell ref="B12:B13"/>
    <mergeCell ref="B14:B15"/>
    <mergeCell ref="N10:N11"/>
    <mergeCell ref="T10:T11"/>
    <mergeCell ref="T12:T13"/>
    <mergeCell ref="T14:T15"/>
    <mergeCell ref="C10:C11"/>
    <mergeCell ref="C12:C15"/>
  </mergeCell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58"/>
  <sheetViews>
    <sheetView topLeftCell="A133" workbookViewId="0">
      <selection activeCell="B1" sqref="B1:T1"/>
    </sheetView>
  </sheetViews>
  <sheetFormatPr defaultColWidth="9.140625" defaultRowHeight="11.25" x14ac:dyDescent="0.2"/>
  <cols>
    <col min="1" max="1" width="5" style="1" customWidth="1"/>
    <col min="2" max="2" width="25.7109375" style="2" customWidth="1"/>
    <col min="3" max="3" width="11.140625" style="2" customWidth="1"/>
    <col min="4" max="11" width="3.42578125" style="2" customWidth="1"/>
    <col min="12" max="19" width="4.42578125" style="2" customWidth="1"/>
    <col min="20" max="20" width="26.140625" style="2" customWidth="1"/>
    <col min="21" max="21" width="9.140625" style="2"/>
    <col min="22" max="22" width="32.28515625" style="2" customWidth="1"/>
    <col min="23" max="16384" width="9.140625" style="2"/>
  </cols>
  <sheetData>
    <row r="1" spans="1:20" ht="18" customHeight="1" x14ac:dyDescent="0.2">
      <c r="B1" s="192" t="s">
        <v>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20" ht="9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O2" s="3"/>
      <c r="P2" s="42" t="s">
        <v>153</v>
      </c>
      <c r="Q2" s="42"/>
      <c r="R2" s="42"/>
      <c r="S2" s="42"/>
      <c r="T2" s="42"/>
    </row>
    <row r="3" spans="1:20" ht="15" customHeight="1" x14ac:dyDescent="0.2">
      <c r="A3" s="193" t="s">
        <v>154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20" ht="50.25" customHeight="1" x14ac:dyDescent="0.2">
      <c r="A4" s="194" t="s">
        <v>155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</row>
    <row r="5" spans="1:20" ht="16.5" customHeight="1" x14ac:dyDescent="0.2">
      <c r="A5" s="4" t="s">
        <v>3</v>
      </c>
      <c r="B5" s="197" t="s">
        <v>156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9"/>
    </row>
    <row r="6" spans="1:20" ht="17.25" customHeight="1" x14ac:dyDescent="0.2">
      <c r="A6" s="5" t="s">
        <v>157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8"/>
    </row>
    <row r="7" spans="1:20" ht="33" customHeight="1" x14ac:dyDescent="0.2">
      <c r="A7" s="7" t="s">
        <v>158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59"/>
    </row>
    <row r="8" spans="1:20" ht="14.25" customHeight="1" x14ac:dyDescent="0.2">
      <c r="A8" s="9" t="s">
        <v>159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60">
        <v>0.2</v>
      </c>
    </row>
    <row r="9" spans="1:20" ht="25.5" customHeight="1" x14ac:dyDescent="0.2">
      <c r="A9" s="200" t="s">
        <v>160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2"/>
    </row>
    <row r="10" spans="1:20" ht="19.5" customHeight="1" x14ac:dyDescent="0.2">
      <c r="A10" s="207"/>
      <c r="B10" s="210"/>
      <c r="C10" s="217" t="s">
        <v>14</v>
      </c>
      <c r="D10" s="203" t="s">
        <v>161</v>
      </c>
      <c r="E10" s="203"/>
      <c r="F10" s="203"/>
      <c r="G10" s="203"/>
      <c r="H10" s="203"/>
      <c r="I10" s="203" t="s">
        <v>162</v>
      </c>
      <c r="J10" s="203"/>
      <c r="K10" s="203"/>
      <c r="L10" s="203"/>
      <c r="M10" s="203"/>
      <c r="N10" s="204" t="s">
        <v>163</v>
      </c>
      <c r="O10" s="204" t="s">
        <v>164</v>
      </c>
      <c r="P10" s="204"/>
      <c r="Q10" s="204"/>
      <c r="R10" s="204"/>
      <c r="S10" s="204"/>
      <c r="T10" s="213" t="s">
        <v>165</v>
      </c>
    </row>
    <row r="11" spans="1:20" ht="22.5" customHeight="1" x14ac:dyDescent="0.2">
      <c r="A11" s="208"/>
      <c r="B11" s="211"/>
      <c r="C11" s="218"/>
      <c r="D11" s="12" t="s">
        <v>8</v>
      </c>
      <c r="E11" s="12" t="s">
        <v>9</v>
      </c>
      <c r="F11" s="12" t="s">
        <v>10</v>
      </c>
      <c r="G11" s="12" t="s">
        <v>11</v>
      </c>
      <c r="H11" s="12" t="s">
        <v>166</v>
      </c>
      <c r="I11" s="12" t="s">
        <v>8</v>
      </c>
      <c r="J11" s="12" t="s">
        <v>9</v>
      </c>
      <c r="K11" s="12" t="s">
        <v>10</v>
      </c>
      <c r="L11" s="12" t="s">
        <v>11</v>
      </c>
      <c r="M11" s="12" t="s">
        <v>166</v>
      </c>
      <c r="N11" s="212"/>
      <c r="O11" s="12" t="s">
        <v>8</v>
      </c>
      <c r="P11" s="12" t="s">
        <v>9</v>
      </c>
      <c r="Q11" s="12" t="s">
        <v>10</v>
      </c>
      <c r="R11" s="12" t="s">
        <v>11</v>
      </c>
      <c r="S11" s="12" t="s">
        <v>166</v>
      </c>
      <c r="T11" s="214"/>
    </row>
    <row r="12" spans="1:20" ht="12.75" customHeight="1" x14ac:dyDescent="0.2">
      <c r="A12" s="209" t="s">
        <v>50</v>
      </c>
      <c r="B12" s="209" t="s">
        <v>167</v>
      </c>
      <c r="C12" s="219" t="s">
        <v>168</v>
      </c>
      <c r="D12" s="14">
        <v>80</v>
      </c>
      <c r="E12" s="15"/>
      <c r="F12" s="15"/>
      <c r="G12" s="15"/>
      <c r="H12" s="15">
        <f>(D12+E12+F12+G12)/4</f>
        <v>20</v>
      </c>
      <c r="I12" s="17"/>
      <c r="J12" s="17"/>
      <c r="K12" s="17"/>
      <c r="L12" s="17"/>
      <c r="M12" s="15">
        <f>(I12+J12+K12+L12)/4</f>
        <v>0</v>
      </c>
      <c r="N12" s="43">
        <v>1</v>
      </c>
      <c r="O12" s="43"/>
      <c r="P12" s="43"/>
      <c r="Q12" s="43"/>
      <c r="R12" s="43"/>
      <c r="S12" s="43">
        <f>SUM(O12:R12)/4</f>
        <v>0</v>
      </c>
      <c r="T12" s="215">
        <f>(H12+N12-0.2*S12)+(M12-0.2*S12)</f>
        <v>21</v>
      </c>
    </row>
    <row r="13" spans="1:20" ht="21.75" customHeight="1" x14ac:dyDescent="0.2">
      <c r="A13" s="209"/>
      <c r="B13" s="209"/>
      <c r="C13" s="219"/>
      <c r="D13" s="16"/>
      <c r="E13" s="15"/>
      <c r="F13" s="15"/>
      <c r="G13" s="15"/>
      <c r="H13" s="15"/>
      <c r="I13" s="16"/>
      <c r="J13" s="16"/>
      <c r="K13" s="16"/>
      <c r="L13" s="16"/>
      <c r="M13" s="16"/>
      <c r="N13" s="44"/>
      <c r="O13" s="45"/>
      <c r="P13" s="46"/>
      <c r="Q13" s="46"/>
      <c r="R13" s="46"/>
      <c r="S13" s="46"/>
      <c r="T13" s="216"/>
    </row>
    <row r="14" spans="1:20" ht="13.5" customHeight="1" x14ac:dyDescent="0.2">
      <c r="A14" s="209" t="s">
        <v>54</v>
      </c>
      <c r="B14" s="209" t="s">
        <v>169</v>
      </c>
      <c r="C14" s="219"/>
      <c r="D14" s="16"/>
      <c r="E14" s="16"/>
      <c r="F14" s="16"/>
      <c r="G14" s="16"/>
      <c r="H14" s="15">
        <f>(D14+E14+F14+G14)/4</f>
        <v>0</v>
      </c>
      <c r="I14" s="16"/>
      <c r="J14" s="16"/>
      <c r="K14" s="16"/>
      <c r="L14" s="16"/>
      <c r="M14" s="15">
        <f>(I14+J14+K14+L14)/4</f>
        <v>0</v>
      </c>
      <c r="N14" s="43">
        <v>1</v>
      </c>
      <c r="O14" s="43"/>
      <c r="P14" s="43"/>
      <c r="Q14" s="43"/>
      <c r="R14" s="43"/>
      <c r="S14" s="43">
        <f>SUM(O14:R14)/4</f>
        <v>0</v>
      </c>
      <c r="T14" s="215">
        <f>(H14+N14-0.2*S14)+(M14-0.2*S14)</f>
        <v>1</v>
      </c>
    </row>
    <row r="15" spans="1:20" ht="33" customHeight="1" x14ac:dyDescent="0.2">
      <c r="A15" s="209"/>
      <c r="B15" s="209"/>
      <c r="C15" s="219"/>
      <c r="D15" s="16">
        <v>80</v>
      </c>
      <c r="E15" s="16"/>
      <c r="F15" s="16"/>
      <c r="G15" s="16"/>
      <c r="H15" s="16"/>
      <c r="I15" s="16"/>
      <c r="J15" s="16"/>
      <c r="K15" s="16"/>
      <c r="L15" s="16"/>
      <c r="M15" s="16"/>
      <c r="N15" s="47"/>
      <c r="O15" s="48"/>
      <c r="P15" s="46"/>
      <c r="Q15" s="46"/>
      <c r="R15" s="46"/>
      <c r="S15" s="46"/>
      <c r="T15" s="216"/>
    </row>
    <row r="16" spans="1:20" ht="21" customHeight="1" x14ac:dyDescent="0.2">
      <c r="A16" s="205" t="s">
        <v>29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61"/>
      <c r="T16" s="62">
        <f>T12+T14</f>
        <v>22</v>
      </c>
    </row>
    <row r="17" spans="1:20" ht="32.25" customHeight="1" x14ac:dyDescent="0.2">
      <c r="A17" s="356" t="s">
        <v>170</v>
      </c>
      <c r="B17" s="226"/>
      <c r="C17" s="226" t="s">
        <v>14</v>
      </c>
      <c r="D17" s="220" t="s">
        <v>31</v>
      </c>
      <c r="E17" s="220"/>
      <c r="F17" s="220"/>
      <c r="G17" s="220"/>
      <c r="H17" s="220" t="s">
        <v>32</v>
      </c>
      <c r="I17" s="220"/>
      <c r="J17" s="220"/>
      <c r="K17" s="220"/>
      <c r="L17" s="220" t="s">
        <v>33</v>
      </c>
      <c r="M17" s="220"/>
      <c r="N17" s="220"/>
      <c r="O17" s="220"/>
      <c r="P17" s="220" t="s">
        <v>34</v>
      </c>
      <c r="Q17" s="220"/>
      <c r="R17" s="220"/>
      <c r="S17" s="220"/>
      <c r="T17" s="309" t="s">
        <v>171</v>
      </c>
    </row>
    <row r="18" spans="1:20" ht="30" customHeight="1" x14ac:dyDescent="0.2">
      <c r="A18" s="357"/>
      <c r="B18" s="225"/>
      <c r="C18" s="225"/>
      <c r="D18" s="18" t="s">
        <v>35</v>
      </c>
      <c r="E18" s="18" t="s">
        <v>172</v>
      </c>
      <c r="F18" s="18" t="s">
        <v>37</v>
      </c>
      <c r="G18" s="18" t="s">
        <v>39</v>
      </c>
      <c r="H18" s="18" t="s">
        <v>172</v>
      </c>
      <c r="I18" s="18" t="s">
        <v>37</v>
      </c>
      <c r="J18" s="18" t="s">
        <v>35</v>
      </c>
      <c r="K18" s="18" t="s">
        <v>39</v>
      </c>
      <c r="L18" s="18" t="s">
        <v>172</v>
      </c>
      <c r="M18" s="18" t="s">
        <v>37</v>
      </c>
      <c r="N18" s="18" t="s">
        <v>35</v>
      </c>
      <c r="O18" s="18" t="s">
        <v>39</v>
      </c>
      <c r="P18" s="18" t="s">
        <v>172</v>
      </c>
      <c r="Q18" s="18" t="s">
        <v>37</v>
      </c>
      <c r="R18" s="18" t="s">
        <v>35</v>
      </c>
      <c r="S18" s="18" t="s">
        <v>39</v>
      </c>
      <c r="T18" s="310"/>
    </row>
    <row r="19" spans="1:20" ht="11.25" customHeight="1" x14ac:dyDescent="0.2">
      <c r="A19" s="223" t="s">
        <v>50</v>
      </c>
      <c r="B19" s="224" t="s">
        <v>173</v>
      </c>
      <c r="C19" s="13" t="s">
        <v>174</v>
      </c>
      <c r="D19" s="15"/>
      <c r="E19" s="15"/>
      <c r="F19" s="15"/>
      <c r="G19" s="225">
        <f>D19+E19+F19+D20+E20+F20+D21+E21+F21</f>
        <v>160</v>
      </c>
      <c r="H19" s="15"/>
      <c r="I19" s="15"/>
      <c r="J19" s="15"/>
      <c r="K19" s="225">
        <f>H19+I19+J19+H20+I20+J20+H21+I21+J21</f>
        <v>0</v>
      </c>
      <c r="L19" s="15"/>
      <c r="M19" s="15"/>
      <c r="N19" s="15"/>
      <c r="O19" s="225">
        <f>L19+M19+N19+L20+M20+N20+L21+M21+N21</f>
        <v>0</v>
      </c>
      <c r="P19" s="15"/>
      <c r="Q19" s="15"/>
      <c r="R19" s="15"/>
      <c r="S19" s="225">
        <f t="shared" ref="S19" si="0">P19+Q19+R19+P20++Q20+R20+P21+Q21+R21</f>
        <v>0</v>
      </c>
      <c r="T19" s="310">
        <f>(G19+K19+O19+S19)/4</f>
        <v>40</v>
      </c>
    </row>
    <row r="20" spans="1:20" ht="11.25" customHeight="1" x14ac:dyDescent="0.2">
      <c r="A20" s="223"/>
      <c r="B20" s="224"/>
      <c r="C20" s="13" t="s">
        <v>175</v>
      </c>
      <c r="D20" s="15">
        <v>160</v>
      </c>
      <c r="E20" s="15"/>
      <c r="F20" s="15"/>
      <c r="G20" s="225"/>
      <c r="H20" s="15"/>
      <c r="I20" s="15"/>
      <c r="J20" s="15"/>
      <c r="K20" s="225"/>
      <c r="L20" s="15"/>
      <c r="M20" s="15"/>
      <c r="N20" s="15"/>
      <c r="O20" s="225"/>
      <c r="P20" s="15"/>
      <c r="Q20" s="15"/>
      <c r="R20" s="15"/>
      <c r="S20" s="225"/>
      <c r="T20" s="310"/>
    </row>
    <row r="21" spans="1:20" ht="28.5" customHeight="1" x14ac:dyDescent="0.2">
      <c r="A21" s="223"/>
      <c r="B21" s="224"/>
      <c r="C21" s="13" t="s">
        <v>176</v>
      </c>
      <c r="D21" s="15"/>
      <c r="E21" s="15"/>
      <c r="F21" s="15"/>
      <c r="G21" s="225"/>
      <c r="H21" s="15"/>
      <c r="I21" s="15"/>
      <c r="J21" s="15"/>
      <c r="K21" s="225"/>
      <c r="L21" s="15"/>
      <c r="M21" s="15"/>
      <c r="N21" s="15"/>
      <c r="O21" s="225"/>
      <c r="P21" s="15"/>
      <c r="Q21" s="15"/>
      <c r="R21" s="15"/>
      <c r="S21" s="225"/>
      <c r="T21" s="310"/>
    </row>
    <row r="22" spans="1:20" ht="20.25" customHeight="1" x14ac:dyDescent="0.2">
      <c r="A22" s="221" t="s">
        <v>48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1"/>
      <c r="T22" s="63">
        <f>T19</f>
        <v>40</v>
      </c>
    </row>
    <row r="23" spans="1:20" ht="21.75" customHeight="1" x14ac:dyDescent="0.2">
      <c r="A23" s="352" t="s">
        <v>177</v>
      </c>
      <c r="B23" s="353"/>
      <c r="C23" s="226" t="s">
        <v>14</v>
      </c>
      <c r="D23" s="220" t="s">
        <v>31</v>
      </c>
      <c r="E23" s="220"/>
      <c r="F23" s="220"/>
      <c r="G23" s="220"/>
      <c r="H23" s="220" t="s">
        <v>32</v>
      </c>
      <c r="I23" s="220"/>
      <c r="J23" s="220"/>
      <c r="K23" s="220"/>
      <c r="L23" s="220" t="s">
        <v>33</v>
      </c>
      <c r="M23" s="220"/>
      <c r="N23" s="220"/>
      <c r="O23" s="220"/>
      <c r="P23" s="220" t="s">
        <v>34</v>
      </c>
      <c r="Q23" s="220"/>
      <c r="R23" s="220"/>
      <c r="S23" s="220"/>
      <c r="T23" s="311" t="s">
        <v>171</v>
      </c>
    </row>
    <row r="24" spans="1:20" ht="21.75" customHeight="1" x14ac:dyDescent="0.2">
      <c r="A24" s="354"/>
      <c r="B24" s="355"/>
      <c r="C24" s="225"/>
      <c r="D24" s="227" t="s">
        <v>37</v>
      </c>
      <c r="E24" s="228"/>
      <c r="F24" s="228"/>
      <c r="G24" s="229"/>
      <c r="H24" s="227" t="s">
        <v>37</v>
      </c>
      <c r="I24" s="228"/>
      <c r="J24" s="228"/>
      <c r="K24" s="229"/>
      <c r="L24" s="227" t="s">
        <v>37</v>
      </c>
      <c r="M24" s="228"/>
      <c r="N24" s="228"/>
      <c r="O24" s="229"/>
      <c r="P24" s="227" t="s">
        <v>37</v>
      </c>
      <c r="Q24" s="228"/>
      <c r="R24" s="228"/>
      <c r="S24" s="229"/>
      <c r="T24" s="312"/>
    </row>
    <row r="25" spans="1:20" ht="10.5" customHeight="1" x14ac:dyDescent="0.2">
      <c r="A25" s="223" t="s">
        <v>50</v>
      </c>
      <c r="B25" s="373" t="s">
        <v>51</v>
      </c>
      <c r="C25" s="22" t="s">
        <v>52</v>
      </c>
      <c r="D25" s="225">
        <v>40</v>
      </c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310">
        <f>(D25+H25+L25+P25+D26+H26+L26+P26)/4</f>
        <v>10</v>
      </c>
    </row>
    <row r="26" spans="1:20" ht="10.5" customHeight="1" x14ac:dyDescent="0.2">
      <c r="A26" s="223"/>
      <c r="B26" s="374"/>
      <c r="C26" s="23" t="s">
        <v>178</v>
      </c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310"/>
    </row>
    <row r="27" spans="1:20" ht="10.5" customHeight="1" x14ac:dyDescent="0.2">
      <c r="A27" s="223" t="s">
        <v>54</v>
      </c>
      <c r="B27" s="331" t="s">
        <v>55</v>
      </c>
      <c r="C27" s="23" t="s">
        <v>56</v>
      </c>
      <c r="D27" s="225">
        <v>40</v>
      </c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310">
        <f>(D27+H27+L27+P27+D28+H28+L28+P28)/4</f>
        <v>10</v>
      </c>
    </row>
    <row r="28" spans="1:20" ht="10.5" customHeight="1" x14ac:dyDescent="0.2">
      <c r="A28" s="223"/>
      <c r="B28" s="331"/>
      <c r="C28" s="23" t="s">
        <v>178</v>
      </c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310"/>
    </row>
    <row r="29" spans="1:20" ht="10.5" customHeight="1" x14ac:dyDescent="0.2">
      <c r="A29" s="223" t="s">
        <v>57</v>
      </c>
      <c r="B29" s="331" t="s">
        <v>58</v>
      </c>
      <c r="C29" s="13" t="s">
        <v>59</v>
      </c>
      <c r="D29" s="225">
        <v>40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310">
        <f>(D29+H29+L29+P29+D30+H30+L30+P30)/4</f>
        <v>10</v>
      </c>
    </row>
    <row r="30" spans="1:20" ht="10.5" customHeight="1" x14ac:dyDescent="0.2">
      <c r="A30" s="292"/>
      <c r="B30" s="375"/>
      <c r="C30" s="24" t="s">
        <v>179</v>
      </c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310"/>
    </row>
    <row r="31" spans="1:20" ht="10.5" customHeight="1" x14ac:dyDescent="0.2">
      <c r="A31" s="243" t="s">
        <v>61</v>
      </c>
      <c r="B31" s="325" t="s">
        <v>62</v>
      </c>
      <c r="C31" s="26" t="s">
        <v>63</v>
      </c>
      <c r="D31" s="225">
        <v>40</v>
      </c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313">
        <f>(D31+H31+L31+P31+D32+H32+L32+P32+D33+H33+L33+P33)/4</f>
        <v>10</v>
      </c>
    </row>
    <row r="32" spans="1:20" ht="10.5" customHeight="1" x14ac:dyDescent="0.2">
      <c r="A32" s="223"/>
      <c r="B32" s="331"/>
      <c r="C32" s="27" t="s">
        <v>180</v>
      </c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313"/>
    </row>
    <row r="33" spans="1:20" ht="10.5" customHeight="1" x14ac:dyDescent="0.2">
      <c r="A33" s="244"/>
      <c r="B33" s="326"/>
      <c r="C33" s="29" t="s">
        <v>181</v>
      </c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313"/>
    </row>
    <row r="34" spans="1:20" ht="18.75" customHeight="1" x14ac:dyDescent="0.2">
      <c r="A34" s="230" t="s">
        <v>66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2"/>
      <c r="T34" s="64">
        <f>T25+T27+T29+T31</f>
        <v>40</v>
      </c>
    </row>
    <row r="35" spans="1:20" ht="25.5" customHeight="1" x14ac:dyDescent="0.2">
      <c r="A35" s="233" t="s">
        <v>67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65">
        <f>T16+T22+T34</f>
        <v>102</v>
      </c>
    </row>
    <row r="36" spans="1:20" ht="18.75" customHeight="1" x14ac:dyDescent="0.2">
      <c r="A36" s="30" t="s">
        <v>182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6"/>
    </row>
    <row r="37" spans="1:20" ht="15" customHeight="1" x14ac:dyDescent="0.2">
      <c r="A37" s="32" t="s">
        <v>183</v>
      </c>
      <c r="B37" s="33"/>
      <c r="C37" s="33"/>
      <c r="D37" s="33"/>
      <c r="E37" s="33"/>
      <c r="F37" s="33"/>
      <c r="G37" s="33"/>
      <c r="H37" s="33"/>
      <c r="I37" s="33"/>
      <c r="J37" s="235" t="s">
        <v>184</v>
      </c>
      <c r="K37" s="235"/>
      <c r="L37" s="235"/>
      <c r="M37" s="235"/>
      <c r="N37" s="235"/>
      <c r="O37" s="236"/>
      <c r="P37" s="49" t="s">
        <v>185</v>
      </c>
      <c r="Q37" s="49" t="s">
        <v>186</v>
      </c>
      <c r="R37" s="67" t="s">
        <v>187</v>
      </c>
      <c r="S37" s="49" t="s">
        <v>188</v>
      </c>
      <c r="T37" s="68" t="s">
        <v>165</v>
      </c>
    </row>
    <row r="38" spans="1:20" ht="10.5" customHeight="1" x14ac:dyDescent="0.2">
      <c r="A38" s="293" t="s">
        <v>71</v>
      </c>
      <c r="B38" s="349" t="s">
        <v>189</v>
      </c>
      <c r="C38" s="240"/>
      <c r="D38" s="240"/>
      <c r="E38" s="240"/>
      <c r="F38" s="240"/>
      <c r="G38" s="240"/>
      <c r="H38" s="240"/>
      <c r="I38" s="240"/>
      <c r="J38" s="237" t="s">
        <v>190</v>
      </c>
      <c r="K38" s="237"/>
      <c r="L38" s="237"/>
      <c r="M38" s="237"/>
      <c r="N38" s="237"/>
      <c r="O38" s="237"/>
      <c r="P38" s="50">
        <v>10</v>
      </c>
      <c r="Q38" s="50"/>
      <c r="R38" s="50"/>
      <c r="S38" s="50"/>
      <c r="T38" s="69">
        <f>P38+Q38+R38+S38/4</f>
        <v>10</v>
      </c>
    </row>
    <row r="39" spans="1:20" ht="10.5" customHeight="1" x14ac:dyDescent="0.2">
      <c r="A39" s="294"/>
      <c r="B39" s="350"/>
      <c r="C39" s="350"/>
      <c r="D39" s="350"/>
      <c r="E39" s="350"/>
      <c r="F39" s="350"/>
      <c r="G39" s="350"/>
      <c r="H39" s="350"/>
      <c r="I39" s="350"/>
      <c r="J39" s="238" t="s">
        <v>191</v>
      </c>
      <c r="K39" s="238"/>
      <c r="L39" s="238"/>
      <c r="M39" s="238"/>
      <c r="N39" s="238"/>
      <c r="O39" s="238"/>
      <c r="P39" s="51">
        <v>100</v>
      </c>
      <c r="Q39" s="51"/>
      <c r="R39" s="51"/>
      <c r="S39" s="51"/>
      <c r="T39" s="69">
        <f t="shared" ref="T39:T43" si="1">P39+Q39+R39+S39/4</f>
        <v>100</v>
      </c>
    </row>
    <row r="40" spans="1:20" ht="10.5" customHeight="1" x14ac:dyDescent="0.2">
      <c r="A40" s="294"/>
      <c r="B40" s="350"/>
      <c r="C40" s="350"/>
      <c r="D40" s="350"/>
      <c r="E40" s="350"/>
      <c r="F40" s="350"/>
      <c r="G40" s="350"/>
      <c r="H40" s="350"/>
      <c r="I40" s="350"/>
      <c r="J40" s="238" t="s">
        <v>192</v>
      </c>
      <c r="K40" s="238"/>
      <c r="L40" s="238"/>
      <c r="M40" s="238"/>
      <c r="N40" s="238"/>
      <c r="O40" s="238"/>
      <c r="P40" s="51"/>
      <c r="Q40" s="51"/>
      <c r="R40" s="51"/>
      <c r="S40" s="51"/>
      <c r="T40" s="69">
        <f t="shared" si="1"/>
        <v>0</v>
      </c>
    </row>
    <row r="41" spans="1:20" ht="10.5" customHeight="1" x14ac:dyDescent="0.2">
      <c r="A41" s="294"/>
      <c r="B41" s="350"/>
      <c r="C41" s="350"/>
      <c r="D41" s="350"/>
      <c r="E41" s="350"/>
      <c r="F41" s="350"/>
      <c r="G41" s="350"/>
      <c r="H41" s="350"/>
      <c r="I41" s="350"/>
      <c r="J41" s="238" t="s">
        <v>193</v>
      </c>
      <c r="K41" s="238"/>
      <c r="L41" s="238"/>
      <c r="M41" s="238"/>
      <c r="N41" s="238"/>
      <c r="O41" s="238"/>
      <c r="P41" s="51"/>
      <c r="Q41" s="51"/>
      <c r="R41" s="51"/>
      <c r="S41" s="51"/>
      <c r="T41" s="69">
        <f t="shared" si="1"/>
        <v>0</v>
      </c>
    </row>
    <row r="42" spans="1:20" ht="10.5" customHeight="1" x14ac:dyDescent="0.2">
      <c r="A42" s="294"/>
      <c r="B42" s="350"/>
      <c r="C42" s="350"/>
      <c r="D42" s="350"/>
      <c r="E42" s="350"/>
      <c r="F42" s="350"/>
      <c r="G42" s="350"/>
      <c r="H42" s="350"/>
      <c r="I42" s="350"/>
      <c r="J42" s="238" t="s">
        <v>194</v>
      </c>
      <c r="K42" s="238"/>
      <c r="L42" s="238"/>
      <c r="M42" s="238"/>
      <c r="N42" s="238"/>
      <c r="O42" s="238"/>
      <c r="P42" s="51"/>
      <c r="Q42" s="51"/>
      <c r="R42" s="51"/>
      <c r="S42" s="51"/>
      <c r="T42" s="69">
        <f t="shared" si="1"/>
        <v>0</v>
      </c>
    </row>
    <row r="43" spans="1:20" ht="17.25" customHeight="1" x14ac:dyDescent="0.2">
      <c r="A43" s="295"/>
      <c r="B43" s="351"/>
      <c r="C43" s="351"/>
      <c r="D43" s="351"/>
      <c r="E43" s="351"/>
      <c r="F43" s="351"/>
      <c r="G43" s="351"/>
      <c r="H43" s="351"/>
      <c r="I43" s="351"/>
      <c r="J43" s="239" t="s">
        <v>195</v>
      </c>
      <c r="K43" s="239"/>
      <c r="L43" s="239"/>
      <c r="M43" s="239"/>
      <c r="N43" s="239"/>
      <c r="O43" s="239"/>
      <c r="P43" s="52"/>
      <c r="Q43" s="52"/>
      <c r="R43" s="52"/>
      <c r="S43" s="52"/>
      <c r="T43" s="69">
        <f t="shared" si="1"/>
        <v>0</v>
      </c>
    </row>
    <row r="44" spans="1:20" ht="16.5" customHeight="1" x14ac:dyDescent="0.2">
      <c r="A44" s="34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53"/>
      <c r="M44" s="53"/>
      <c r="N44" s="53"/>
      <c r="O44" s="54"/>
      <c r="P44" s="55"/>
      <c r="Q44" s="55"/>
      <c r="R44" s="55"/>
      <c r="S44" s="55"/>
      <c r="T44" s="70">
        <f>T38+T39+T40+T41+T42+T43</f>
        <v>110</v>
      </c>
    </row>
    <row r="45" spans="1:20" ht="11.25" customHeight="1" x14ac:dyDescent="0.2">
      <c r="A45" s="243" t="s">
        <v>79</v>
      </c>
      <c r="B45" s="226" t="s">
        <v>80</v>
      </c>
      <c r="C45" s="220"/>
      <c r="D45" s="220"/>
      <c r="E45" s="220"/>
      <c r="F45" s="220"/>
      <c r="G45" s="220"/>
      <c r="H45" s="220"/>
      <c r="I45" s="220"/>
      <c r="J45" s="237" t="s">
        <v>94</v>
      </c>
      <c r="K45" s="237"/>
      <c r="L45" s="237"/>
      <c r="M45" s="237"/>
      <c r="N45" s="237"/>
      <c r="O45" s="237"/>
      <c r="P45" s="50"/>
      <c r="Q45" s="50"/>
      <c r="R45" s="50"/>
      <c r="S45" s="50"/>
      <c r="T45" s="69">
        <f>P45+Q45+R45+S45</f>
        <v>0</v>
      </c>
    </row>
    <row r="46" spans="1:20" ht="11.25" customHeight="1" x14ac:dyDescent="0.2">
      <c r="A46" s="223"/>
      <c r="B46" s="216"/>
      <c r="C46" s="216"/>
      <c r="D46" s="216"/>
      <c r="E46" s="216"/>
      <c r="F46" s="216"/>
      <c r="G46" s="216"/>
      <c r="H46" s="216"/>
      <c r="I46" s="216"/>
      <c r="J46" s="238" t="s">
        <v>196</v>
      </c>
      <c r="K46" s="238"/>
      <c r="L46" s="238"/>
      <c r="M46" s="238"/>
      <c r="N46" s="238"/>
      <c r="O46" s="238"/>
      <c r="P46" s="51"/>
      <c r="Q46" s="51"/>
      <c r="R46" s="51"/>
      <c r="S46" s="51"/>
      <c r="T46" s="69">
        <f t="shared" ref="T46:T49" si="2">P46+Q46+R46+S46</f>
        <v>0</v>
      </c>
    </row>
    <row r="47" spans="1:20" ht="11.25" customHeight="1" x14ac:dyDescent="0.2">
      <c r="A47" s="223"/>
      <c r="B47" s="216"/>
      <c r="C47" s="216"/>
      <c r="D47" s="216"/>
      <c r="E47" s="216"/>
      <c r="F47" s="216"/>
      <c r="G47" s="216"/>
      <c r="H47" s="216"/>
      <c r="I47" s="216"/>
      <c r="J47" s="238" t="s">
        <v>197</v>
      </c>
      <c r="K47" s="238"/>
      <c r="L47" s="238"/>
      <c r="M47" s="238"/>
      <c r="N47" s="238"/>
      <c r="O47" s="238"/>
      <c r="P47" s="51"/>
      <c r="Q47" s="51"/>
      <c r="R47" s="51"/>
      <c r="S47" s="51"/>
      <c r="T47" s="69">
        <f t="shared" si="2"/>
        <v>0</v>
      </c>
    </row>
    <row r="48" spans="1:20" ht="11.25" customHeight="1" x14ac:dyDescent="0.2">
      <c r="A48" s="223"/>
      <c r="B48" s="216"/>
      <c r="C48" s="216"/>
      <c r="D48" s="216"/>
      <c r="E48" s="216"/>
      <c r="F48" s="216"/>
      <c r="G48" s="216"/>
      <c r="H48" s="216"/>
      <c r="I48" s="216"/>
      <c r="J48" s="238" t="s">
        <v>198</v>
      </c>
      <c r="K48" s="238"/>
      <c r="L48" s="238"/>
      <c r="M48" s="238"/>
      <c r="N48" s="238"/>
      <c r="O48" s="238"/>
      <c r="P48" s="51"/>
      <c r="Q48" s="51"/>
      <c r="R48" s="51"/>
      <c r="S48" s="51"/>
      <c r="T48" s="69">
        <f t="shared" si="2"/>
        <v>0</v>
      </c>
    </row>
    <row r="49" spans="1:20" ht="11.25" customHeight="1" x14ac:dyDescent="0.2">
      <c r="A49" s="223"/>
      <c r="B49" s="216"/>
      <c r="C49" s="216"/>
      <c r="D49" s="216"/>
      <c r="E49" s="216"/>
      <c r="F49" s="216"/>
      <c r="G49" s="216"/>
      <c r="H49" s="216"/>
      <c r="I49" s="216"/>
      <c r="J49" s="238" t="s">
        <v>199</v>
      </c>
      <c r="K49" s="238"/>
      <c r="L49" s="238"/>
      <c r="M49" s="238"/>
      <c r="N49" s="238"/>
      <c r="O49" s="238"/>
      <c r="P49" s="51"/>
      <c r="Q49" s="51"/>
      <c r="R49" s="51"/>
      <c r="S49" s="51"/>
      <c r="T49" s="69">
        <f t="shared" si="2"/>
        <v>0</v>
      </c>
    </row>
    <row r="50" spans="1:20" ht="18.75" customHeight="1" x14ac:dyDescent="0.2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56"/>
      <c r="M50" s="56"/>
      <c r="N50" s="56"/>
      <c r="O50" s="56"/>
      <c r="P50" s="57"/>
      <c r="Q50" s="55"/>
      <c r="R50" s="55"/>
      <c r="S50" s="71"/>
      <c r="T50" s="72">
        <f>T45+T46+T47+T48+T49</f>
        <v>0</v>
      </c>
    </row>
    <row r="51" spans="1:20" ht="18.75" customHeight="1" x14ac:dyDescent="0.2">
      <c r="A51" s="243" t="s">
        <v>81</v>
      </c>
      <c r="B51" s="226" t="s">
        <v>82</v>
      </c>
      <c r="C51" s="220"/>
      <c r="D51" s="220"/>
      <c r="E51" s="220"/>
      <c r="F51" s="220"/>
      <c r="G51" s="220"/>
      <c r="H51" s="220"/>
      <c r="I51" s="220"/>
      <c r="J51" s="237" t="s">
        <v>94</v>
      </c>
      <c r="K51" s="237"/>
      <c r="L51" s="237"/>
      <c r="M51" s="237"/>
      <c r="N51" s="237"/>
      <c r="O51" s="237"/>
      <c r="P51" s="50"/>
      <c r="Q51" s="50"/>
      <c r="R51" s="50"/>
      <c r="S51" s="50"/>
      <c r="T51" s="69">
        <f>P51+Q51+R51+S51</f>
        <v>0</v>
      </c>
    </row>
    <row r="52" spans="1:20" ht="18.75" customHeight="1" x14ac:dyDescent="0.2">
      <c r="A52" s="223"/>
      <c r="B52" s="216"/>
      <c r="C52" s="216"/>
      <c r="D52" s="216"/>
      <c r="E52" s="216"/>
      <c r="F52" s="216"/>
      <c r="G52" s="216"/>
      <c r="H52" s="216"/>
      <c r="I52" s="216"/>
      <c r="J52" s="238" t="s">
        <v>196</v>
      </c>
      <c r="K52" s="238"/>
      <c r="L52" s="238"/>
      <c r="M52" s="238"/>
      <c r="N52" s="238"/>
      <c r="O52" s="238"/>
      <c r="P52" s="51"/>
      <c r="Q52" s="51"/>
      <c r="R52" s="51"/>
      <c r="S52" s="51"/>
      <c r="T52" s="69">
        <f t="shared" ref="T52:T55" si="3">P52+Q52+R52+S52</f>
        <v>0</v>
      </c>
    </row>
    <row r="53" spans="1:20" ht="18.75" customHeight="1" x14ac:dyDescent="0.2">
      <c r="A53" s="223"/>
      <c r="B53" s="216"/>
      <c r="C53" s="216"/>
      <c r="D53" s="216"/>
      <c r="E53" s="216"/>
      <c r="F53" s="216"/>
      <c r="G53" s="216"/>
      <c r="H53" s="216"/>
      <c r="I53" s="216"/>
      <c r="J53" s="238" t="s">
        <v>197</v>
      </c>
      <c r="K53" s="238"/>
      <c r="L53" s="238"/>
      <c r="M53" s="238"/>
      <c r="N53" s="238"/>
      <c r="O53" s="238"/>
      <c r="P53" s="51"/>
      <c r="Q53" s="51"/>
      <c r="R53" s="51"/>
      <c r="S53" s="51"/>
      <c r="T53" s="69">
        <f t="shared" si="3"/>
        <v>0</v>
      </c>
    </row>
    <row r="54" spans="1:20" ht="18.75" customHeight="1" x14ac:dyDescent="0.2">
      <c r="A54" s="223"/>
      <c r="B54" s="216"/>
      <c r="C54" s="216"/>
      <c r="D54" s="216"/>
      <c r="E54" s="216"/>
      <c r="F54" s="216"/>
      <c r="G54" s="216"/>
      <c r="H54" s="216"/>
      <c r="I54" s="216"/>
      <c r="J54" s="238" t="s">
        <v>198</v>
      </c>
      <c r="K54" s="238"/>
      <c r="L54" s="238"/>
      <c r="M54" s="238"/>
      <c r="N54" s="238"/>
      <c r="O54" s="238"/>
      <c r="P54" s="51"/>
      <c r="Q54" s="51"/>
      <c r="R54" s="51"/>
      <c r="S54" s="51"/>
      <c r="T54" s="69">
        <f t="shared" si="3"/>
        <v>0</v>
      </c>
    </row>
    <row r="55" spans="1:20" ht="18.75" customHeight="1" x14ac:dyDescent="0.2">
      <c r="A55" s="223"/>
      <c r="B55" s="216"/>
      <c r="C55" s="216"/>
      <c r="D55" s="216"/>
      <c r="E55" s="216"/>
      <c r="F55" s="216"/>
      <c r="G55" s="216"/>
      <c r="H55" s="216"/>
      <c r="I55" s="216"/>
      <c r="J55" s="238" t="s">
        <v>199</v>
      </c>
      <c r="K55" s="238"/>
      <c r="L55" s="238"/>
      <c r="M55" s="238"/>
      <c r="N55" s="238"/>
      <c r="O55" s="238"/>
      <c r="P55" s="51"/>
      <c r="Q55" s="51"/>
      <c r="R55" s="51"/>
      <c r="S55" s="51"/>
      <c r="T55" s="69">
        <f t="shared" si="3"/>
        <v>0</v>
      </c>
    </row>
    <row r="56" spans="1:20" ht="18.75" customHeight="1" x14ac:dyDescent="0.2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56"/>
      <c r="M56" s="56"/>
      <c r="N56" s="56"/>
      <c r="O56" s="56"/>
      <c r="P56" s="57"/>
      <c r="Q56" s="55"/>
      <c r="R56" s="55"/>
      <c r="S56" s="71"/>
      <c r="T56" s="72">
        <f>T51+T52+T53+T54+T55</f>
        <v>0</v>
      </c>
    </row>
    <row r="57" spans="1:20" ht="9.75" customHeight="1" x14ac:dyDescent="0.2">
      <c r="A57" s="243" t="s">
        <v>83</v>
      </c>
      <c r="B57" s="255" t="s">
        <v>200</v>
      </c>
      <c r="C57" s="255"/>
      <c r="D57" s="255"/>
      <c r="E57" s="255"/>
      <c r="F57" s="255"/>
      <c r="G57" s="255"/>
      <c r="H57" s="255"/>
      <c r="I57" s="255"/>
      <c r="J57" s="237" t="s">
        <v>201</v>
      </c>
      <c r="K57" s="237"/>
      <c r="L57" s="237"/>
      <c r="M57" s="237"/>
      <c r="N57" s="237"/>
      <c r="O57" s="237"/>
      <c r="P57" s="50"/>
      <c r="Q57" s="50"/>
      <c r="R57" s="50"/>
      <c r="S57" s="50"/>
      <c r="T57" s="69">
        <f>P57+Q57+R57+S57</f>
        <v>0</v>
      </c>
    </row>
    <row r="58" spans="1:20" ht="9.75" customHeight="1" x14ac:dyDescent="0.2">
      <c r="A58" s="223"/>
      <c r="B58" s="219"/>
      <c r="C58" s="219"/>
      <c r="D58" s="219"/>
      <c r="E58" s="219"/>
      <c r="F58" s="219"/>
      <c r="G58" s="219"/>
      <c r="H58" s="219"/>
      <c r="I58" s="219"/>
      <c r="J58" s="238" t="s">
        <v>202</v>
      </c>
      <c r="K58" s="238"/>
      <c r="L58" s="238"/>
      <c r="M58" s="238"/>
      <c r="N58" s="238"/>
      <c r="O58" s="238"/>
      <c r="P58" s="51"/>
      <c r="Q58" s="51"/>
      <c r="R58" s="51"/>
      <c r="S58" s="51"/>
      <c r="T58" s="69">
        <f t="shared" ref="T58:T61" si="4">P58+Q58+R58+S58</f>
        <v>0</v>
      </c>
    </row>
    <row r="59" spans="1:20" ht="9.75" customHeight="1" x14ac:dyDescent="0.2">
      <c r="A59" s="223"/>
      <c r="B59" s="219"/>
      <c r="C59" s="219"/>
      <c r="D59" s="219"/>
      <c r="E59" s="219"/>
      <c r="F59" s="219"/>
      <c r="G59" s="219"/>
      <c r="H59" s="219"/>
      <c r="I59" s="219"/>
      <c r="J59" s="238" t="s">
        <v>203</v>
      </c>
      <c r="K59" s="238"/>
      <c r="L59" s="238"/>
      <c r="M59" s="238"/>
      <c r="N59" s="238"/>
      <c r="O59" s="238"/>
      <c r="P59" s="51">
        <v>40</v>
      </c>
      <c r="Q59" s="51"/>
      <c r="R59" s="51"/>
      <c r="S59" s="51"/>
      <c r="T59" s="69">
        <f t="shared" si="4"/>
        <v>40</v>
      </c>
    </row>
    <row r="60" spans="1:20" ht="9.75" customHeight="1" x14ac:dyDescent="0.2">
      <c r="A60" s="223"/>
      <c r="B60" s="219"/>
      <c r="C60" s="219"/>
      <c r="D60" s="219"/>
      <c r="E60" s="219"/>
      <c r="F60" s="219"/>
      <c r="G60" s="219"/>
      <c r="H60" s="219"/>
      <c r="I60" s="219"/>
      <c r="J60" s="238" t="s">
        <v>204</v>
      </c>
      <c r="K60" s="238"/>
      <c r="L60" s="238"/>
      <c r="M60" s="238"/>
      <c r="N60" s="238"/>
      <c r="O60" s="238"/>
      <c r="P60" s="51"/>
      <c r="Q60" s="51"/>
      <c r="R60" s="51"/>
      <c r="S60" s="51"/>
      <c r="T60" s="69">
        <f t="shared" si="4"/>
        <v>0</v>
      </c>
    </row>
    <row r="61" spans="1:20" ht="78" customHeight="1" x14ac:dyDescent="0.2">
      <c r="A61" s="244"/>
      <c r="B61" s="256"/>
      <c r="C61" s="256"/>
      <c r="D61" s="256"/>
      <c r="E61" s="256"/>
      <c r="F61" s="256"/>
      <c r="G61" s="256"/>
      <c r="H61" s="256"/>
      <c r="I61" s="256"/>
      <c r="J61" s="245" t="s">
        <v>205</v>
      </c>
      <c r="K61" s="245"/>
      <c r="L61" s="245"/>
      <c r="M61" s="245"/>
      <c r="N61" s="245"/>
      <c r="O61" s="245"/>
      <c r="P61" s="52"/>
      <c r="Q61" s="52"/>
      <c r="R61" s="52"/>
      <c r="S61" s="52"/>
      <c r="T61" s="69">
        <f t="shared" si="4"/>
        <v>0</v>
      </c>
    </row>
    <row r="62" spans="1:20" ht="16.5" customHeight="1" x14ac:dyDescent="0.2">
      <c r="A62" s="3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56"/>
      <c r="M62" s="56"/>
      <c r="N62" s="56"/>
      <c r="O62" s="56"/>
      <c r="P62" s="57"/>
      <c r="Q62" s="55"/>
      <c r="R62" s="55"/>
      <c r="S62" s="71"/>
      <c r="T62" s="73">
        <f>T57+T58+T59+T61</f>
        <v>40</v>
      </c>
    </row>
    <row r="63" spans="1:20" ht="18" customHeight="1" x14ac:dyDescent="0.2">
      <c r="A63" s="243" t="s">
        <v>89</v>
      </c>
      <c r="B63" s="249" t="s">
        <v>88</v>
      </c>
      <c r="C63" s="250"/>
      <c r="D63" s="250"/>
      <c r="E63" s="250"/>
      <c r="F63" s="250"/>
      <c r="G63" s="250"/>
      <c r="H63" s="250"/>
      <c r="I63" s="250"/>
      <c r="J63" s="237" t="s">
        <v>206</v>
      </c>
      <c r="K63" s="237"/>
      <c r="L63" s="237"/>
      <c r="M63" s="237"/>
      <c r="N63" s="237"/>
      <c r="O63" s="237"/>
      <c r="P63" s="50"/>
      <c r="Q63" s="50"/>
      <c r="R63" s="50"/>
      <c r="S63" s="50"/>
      <c r="T63" s="74">
        <f>P63+Q63+R63+S63</f>
        <v>0</v>
      </c>
    </row>
    <row r="64" spans="1:20" ht="10.5" customHeight="1" x14ac:dyDescent="0.2">
      <c r="A64" s="223"/>
      <c r="B64" s="251"/>
      <c r="C64" s="252"/>
      <c r="D64" s="252"/>
      <c r="E64" s="252"/>
      <c r="F64" s="252"/>
      <c r="G64" s="252"/>
      <c r="H64" s="252"/>
      <c r="I64" s="252"/>
      <c r="J64" s="238" t="s">
        <v>207</v>
      </c>
      <c r="K64" s="238"/>
      <c r="L64" s="238"/>
      <c r="M64" s="238"/>
      <c r="N64" s="238"/>
      <c r="O64" s="238"/>
      <c r="P64" s="51"/>
      <c r="Q64" s="51"/>
      <c r="R64" s="51"/>
      <c r="S64" s="51"/>
      <c r="T64" s="74">
        <f t="shared" ref="T64:T67" si="5">P64+Q64+R64+S64</f>
        <v>0</v>
      </c>
    </row>
    <row r="65" spans="1:20" ht="10.5" customHeight="1" x14ac:dyDescent="0.2">
      <c r="A65" s="223"/>
      <c r="B65" s="251"/>
      <c r="C65" s="252"/>
      <c r="D65" s="252"/>
      <c r="E65" s="252"/>
      <c r="F65" s="252"/>
      <c r="G65" s="252"/>
      <c r="H65" s="252"/>
      <c r="I65" s="252"/>
      <c r="J65" s="238" t="s">
        <v>208</v>
      </c>
      <c r="K65" s="238"/>
      <c r="L65" s="238"/>
      <c r="M65" s="238"/>
      <c r="N65" s="238"/>
      <c r="O65" s="238"/>
      <c r="P65" s="51"/>
      <c r="Q65" s="51"/>
      <c r="R65" s="51"/>
      <c r="S65" s="51"/>
      <c r="T65" s="74">
        <f t="shared" si="5"/>
        <v>0</v>
      </c>
    </row>
    <row r="66" spans="1:20" ht="10.5" customHeight="1" x14ac:dyDescent="0.2">
      <c r="A66" s="223"/>
      <c r="B66" s="251"/>
      <c r="C66" s="252"/>
      <c r="D66" s="252"/>
      <c r="E66" s="252"/>
      <c r="F66" s="252"/>
      <c r="G66" s="252"/>
      <c r="H66" s="252"/>
      <c r="I66" s="252"/>
      <c r="J66" s="238" t="s">
        <v>209</v>
      </c>
      <c r="K66" s="238"/>
      <c r="L66" s="238"/>
      <c r="M66" s="238"/>
      <c r="N66" s="238"/>
      <c r="O66" s="238"/>
      <c r="P66" s="51"/>
      <c r="Q66" s="51"/>
      <c r="R66" s="51"/>
      <c r="S66" s="51"/>
      <c r="T66" s="74">
        <f t="shared" si="5"/>
        <v>0</v>
      </c>
    </row>
    <row r="67" spans="1:20" ht="13.5" customHeight="1" x14ac:dyDescent="0.2">
      <c r="A67" s="244"/>
      <c r="B67" s="253"/>
      <c r="C67" s="254"/>
      <c r="D67" s="254"/>
      <c r="E67" s="254"/>
      <c r="F67" s="254"/>
      <c r="G67" s="254"/>
      <c r="H67" s="254"/>
      <c r="I67" s="254"/>
      <c r="J67" s="239" t="s">
        <v>210</v>
      </c>
      <c r="K67" s="239"/>
      <c r="L67" s="239"/>
      <c r="M67" s="239"/>
      <c r="N67" s="239"/>
      <c r="O67" s="239"/>
      <c r="P67" s="52"/>
      <c r="Q67" s="52"/>
      <c r="R67" s="52"/>
      <c r="S67" s="52"/>
      <c r="T67" s="74">
        <f t="shared" si="5"/>
        <v>0</v>
      </c>
    </row>
    <row r="68" spans="1:20" ht="21.75" customHeight="1" x14ac:dyDescent="0.2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56"/>
      <c r="M68" s="56"/>
      <c r="N68" s="56"/>
      <c r="O68" s="56"/>
      <c r="P68" s="57"/>
      <c r="Q68" s="55"/>
      <c r="R68" s="55"/>
      <c r="S68" s="71"/>
      <c r="T68" s="114">
        <f>T63+T64+T66+T67</f>
        <v>0</v>
      </c>
    </row>
    <row r="69" spans="1:20" ht="12" customHeight="1" x14ac:dyDescent="0.2">
      <c r="A69" s="243" t="s">
        <v>87</v>
      </c>
      <c r="B69" s="255" t="s">
        <v>90</v>
      </c>
      <c r="C69" s="255"/>
      <c r="D69" s="255"/>
      <c r="E69" s="255"/>
      <c r="F69" s="255"/>
      <c r="G69" s="255"/>
      <c r="H69" s="255"/>
      <c r="I69" s="255"/>
      <c r="J69" s="237" t="s">
        <v>207</v>
      </c>
      <c r="K69" s="237"/>
      <c r="L69" s="237"/>
      <c r="M69" s="237"/>
      <c r="N69" s="237"/>
      <c r="O69" s="237"/>
      <c r="P69" s="50"/>
      <c r="Q69" s="50"/>
      <c r="R69" s="50"/>
      <c r="S69" s="69"/>
      <c r="T69" s="115">
        <f>P69+Q69+R69+S69</f>
        <v>0</v>
      </c>
    </row>
    <row r="70" spans="1:20" ht="12" customHeight="1" x14ac:dyDescent="0.2">
      <c r="A70" s="223"/>
      <c r="B70" s="219"/>
      <c r="C70" s="219"/>
      <c r="D70" s="219"/>
      <c r="E70" s="219"/>
      <c r="F70" s="219"/>
      <c r="G70" s="219"/>
      <c r="H70" s="219"/>
      <c r="I70" s="219"/>
      <c r="J70" s="238" t="s">
        <v>211</v>
      </c>
      <c r="K70" s="238"/>
      <c r="L70" s="238"/>
      <c r="M70" s="238"/>
      <c r="N70" s="238"/>
      <c r="O70" s="238"/>
      <c r="P70" s="16"/>
      <c r="Q70" s="116"/>
      <c r="R70" s="51"/>
      <c r="S70" s="117"/>
      <c r="T70" s="115">
        <f t="shared" ref="T70:T72" si="6">P70+Q70+R70+S70</f>
        <v>0</v>
      </c>
    </row>
    <row r="71" spans="1:20" ht="12" customHeight="1" x14ac:dyDescent="0.2">
      <c r="A71" s="223"/>
      <c r="B71" s="219"/>
      <c r="C71" s="219"/>
      <c r="D71" s="219"/>
      <c r="E71" s="219"/>
      <c r="F71" s="219"/>
      <c r="G71" s="219"/>
      <c r="H71" s="219"/>
      <c r="I71" s="219"/>
      <c r="J71" s="238" t="s">
        <v>203</v>
      </c>
      <c r="K71" s="238"/>
      <c r="L71" s="238"/>
      <c r="M71" s="238"/>
      <c r="N71" s="238"/>
      <c r="O71" s="238"/>
      <c r="P71" s="16"/>
      <c r="Q71" s="116"/>
      <c r="R71" s="51"/>
      <c r="S71" s="117"/>
      <c r="T71" s="115">
        <f t="shared" si="6"/>
        <v>0</v>
      </c>
    </row>
    <row r="72" spans="1:20" ht="12" customHeight="1" x14ac:dyDescent="0.2">
      <c r="A72" s="244"/>
      <c r="B72" s="256"/>
      <c r="C72" s="256"/>
      <c r="D72" s="256"/>
      <c r="E72" s="256"/>
      <c r="F72" s="256"/>
      <c r="G72" s="256"/>
      <c r="H72" s="256"/>
      <c r="I72" s="256"/>
      <c r="J72" s="239" t="s">
        <v>212</v>
      </c>
      <c r="K72" s="239"/>
      <c r="L72" s="239"/>
      <c r="M72" s="239"/>
      <c r="N72" s="239"/>
      <c r="O72" s="239"/>
      <c r="P72" s="96"/>
      <c r="Q72" s="118"/>
      <c r="R72" s="52"/>
      <c r="S72" s="119"/>
      <c r="T72" s="115">
        <f t="shared" si="6"/>
        <v>0</v>
      </c>
    </row>
    <row r="73" spans="1:20" ht="9.75" customHeight="1" x14ac:dyDescent="0.2">
      <c r="A73" s="37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56"/>
      <c r="M73" s="56"/>
      <c r="N73" s="56"/>
      <c r="O73" s="56"/>
      <c r="P73" s="97"/>
      <c r="Q73" s="120"/>
      <c r="R73" s="121"/>
      <c r="S73" s="121"/>
      <c r="T73" s="122">
        <f>T69+T70+T71+T72</f>
        <v>0</v>
      </c>
    </row>
    <row r="74" spans="1:20" ht="21.75" customHeight="1" x14ac:dyDescent="0.2">
      <c r="A74" s="246" t="s">
        <v>213</v>
      </c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8"/>
      <c r="T74" s="123">
        <f>T44+T50+T62+T73</f>
        <v>150</v>
      </c>
    </row>
    <row r="75" spans="1:20" ht="9" customHeight="1" x14ac:dyDescent="0.2">
      <c r="A75" s="364" t="s">
        <v>214</v>
      </c>
      <c r="B75" s="365"/>
      <c r="C75" s="366"/>
      <c r="D75" s="370" t="s">
        <v>14</v>
      </c>
      <c r="E75" s="371"/>
      <c r="F75" s="371"/>
      <c r="G75" s="371"/>
      <c r="H75" s="365"/>
      <c r="I75" s="365"/>
      <c r="J75" s="365"/>
      <c r="K75" s="366"/>
      <c r="L75" s="220" t="s">
        <v>185</v>
      </c>
      <c r="M75" s="220"/>
      <c r="N75" s="226" t="s">
        <v>186</v>
      </c>
      <c r="O75" s="226"/>
      <c r="P75" s="240" t="s">
        <v>187</v>
      </c>
      <c r="Q75" s="240"/>
      <c r="R75" s="241" t="s">
        <v>188</v>
      </c>
      <c r="S75" s="242"/>
      <c r="T75" s="314" t="s">
        <v>215</v>
      </c>
    </row>
    <row r="76" spans="1:20" ht="17.25" customHeight="1" x14ac:dyDescent="0.2">
      <c r="A76" s="367"/>
      <c r="B76" s="368"/>
      <c r="C76" s="369"/>
      <c r="D76" s="372"/>
      <c r="E76" s="368"/>
      <c r="F76" s="368"/>
      <c r="G76" s="368"/>
      <c r="H76" s="368"/>
      <c r="I76" s="368"/>
      <c r="J76" s="368"/>
      <c r="K76" s="369"/>
      <c r="L76" s="47" t="s">
        <v>216</v>
      </c>
      <c r="M76" s="47" t="s">
        <v>217</v>
      </c>
      <c r="N76" s="47" t="s">
        <v>216</v>
      </c>
      <c r="O76" s="47" t="s">
        <v>217</v>
      </c>
      <c r="P76" s="18" t="s">
        <v>216</v>
      </c>
      <c r="Q76" s="18" t="s">
        <v>217</v>
      </c>
      <c r="R76" s="18" t="s">
        <v>216</v>
      </c>
      <c r="S76" s="18" t="s">
        <v>217</v>
      </c>
      <c r="T76" s="315"/>
    </row>
    <row r="77" spans="1:20" ht="11.25" customHeight="1" x14ac:dyDescent="0.2">
      <c r="A77" s="223" t="s">
        <v>71</v>
      </c>
      <c r="B77" s="360" t="s">
        <v>218</v>
      </c>
      <c r="C77" s="361"/>
      <c r="D77" s="209" t="s">
        <v>219</v>
      </c>
      <c r="E77" s="209"/>
      <c r="F77" s="209"/>
      <c r="G77" s="209"/>
      <c r="H77" s="209"/>
      <c r="I77" s="209"/>
      <c r="J77" s="209"/>
      <c r="K77" s="209"/>
      <c r="L77" s="98">
        <v>50</v>
      </c>
      <c r="M77" s="98"/>
      <c r="N77" s="99"/>
      <c r="O77" s="99"/>
      <c r="P77" s="51"/>
      <c r="Q77" s="51"/>
      <c r="R77" s="51"/>
      <c r="S77" s="51"/>
      <c r="T77" s="117">
        <f>L77+M77+N77+O77+P77+Q77+R77+S77</f>
        <v>50</v>
      </c>
    </row>
    <row r="78" spans="1:20" ht="11.25" customHeight="1" x14ac:dyDescent="0.2">
      <c r="A78" s="223"/>
      <c r="B78" s="362"/>
      <c r="C78" s="363"/>
      <c r="D78" s="209" t="s">
        <v>220</v>
      </c>
      <c r="E78" s="209"/>
      <c r="F78" s="209"/>
      <c r="G78" s="209"/>
      <c r="H78" s="209"/>
      <c r="I78" s="209"/>
      <c r="J78" s="209"/>
      <c r="K78" s="209"/>
      <c r="L78" s="98"/>
      <c r="M78" s="98"/>
      <c r="N78" s="99"/>
      <c r="O78" s="99"/>
      <c r="P78" s="51"/>
      <c r="Q78" s="51"/>
      <c r="R78" s="51"/>
      <c r="S78" s="51"/>
      <c r="T78" s="117">
        <f t="shared" ref="T78:T81" si="7">L78+M78+N78+O78+P78+Q78+R78+S78</f>
        <v>0</v>
      </c>
    </row>
    <row r="79" spans="1:20" ht="11.25" customHeight="1" x14ac:dyDescent="0.2">
      <c r="A79" s="223"/>
      <c r="B79" s="362"/>
      <c r="C79" s="363"/>
      <c r="D79" s="209" t="s">
        <v>221</v>
      </c>
      <c r="E79" s="209"/>
      <c r="F79" s="209"/>
      <c r="G79" s="209"/>
      <c r="H79" s="209"/>
      <c r="I79" s="209"/>
      <c r="J79" s="209"/>
      <c r="K79" s="209"/>
      <c r="L79" s="98"/>
      <c r="M79" s="98"/>
      <c r="N79" s="99"/>
      <c r="O79" s="99"/>
      <c r="P79" s="51"/>
      <c r="Q79" s="51"/>
      <c r="R79" s="51"/>
      <c r="S79" s="51"/>
      <c r="T79" s="117">
        <f t="shared" si="7"/>
        <v>0</v>
      </c>
    </row>
    <row r="80" spans="1:20" ht="11.25" customHeight="1" x14ac:dyDescent="0.2">
      <c r="A80" s="223"/>
      <c r="B80" s="362"/>
      <c r="C80" s="363"/>
      <c r="D80" s="209" t="s">
        <v>222</v>
      </c>
      <c r="E80" s="209"/>
      <c r="F80" s="209"/>
      <c r="G80" s="209"/>
      <c r="H80" s="209"/>
      <c r="I80" s="209"/>
      <c r="J80" s="209"/>
      <c r="K80" s="209"/>
      <c r="L80" s="98"/>
      <c r="M80" s="98"/>
      <c r="N80" s="99"/>
      <c r="O80" s="99"/>
      <c r="P80" s="51"/>
      <c r="Q80" s="51"/>
      <c r="R80" s="51"/>
      <c r="S80" s="51"/>
      <c r="T80" s="117">
        <f t="shared" si="7"/>
        <v>0</v>
      </c>
    </row>
    <row r="81" spans="1:20" ht="11.25" customHeight="1" x14ac:dyDescent="0.2">
      <c r="A81" s="223"/>
      <c r="B81" s="362"/>
      <c r="C81" s="363"/>
      <c r="D81" s="219" t="s">
        <v>223</v>
      </c>
      <c r="E81" s="219"/>
      <c r="F81" s="219"/>
      <c r="G81" s="219"/>
      <c r="H81" s="219"/>
      <c r="I81" s="219"/>
      <c r="J81" s="219"/>
      <c r="K81" s="219"/>
      <c r="L81" s="98"/>
      <c r="M81" s="98"/>
      <c r="N81" s="16"/>
      <c r="O81" s="16"/>
      <c r="P81" s="16"/>
      <c r="Q81" s="116"/>
      <c r="R81" s="51"/>
      <c r="S81" s="51"/>
      <c r="T81" s="117">
        <f t="shared" si="7"/>
        <v>0</v>
      </c>
    </row>
    <row r="82" spans="1:20" ht="23.25" customHeight="1" x14ac:dyDescent="0.2">
      <c r="A82" s="76"/>
      <c r="B82" s="77"/>
      <c r="C82" s="78"/>
      <c r="D82" s="40"/>
      <c r="E82" s="41"/>
      <c r="F82" s="41"/>
      <c r="G82" s="41"/>
      <c r="H82" s="41"/>
      <c r="I82" s="41"/>
      <c r="J82" s="41"/>
      <c r="K82" s="41"/>
      <c r="L82" s="41"/>
      <c r="M82" s="100"/>
      <c r="N82" s="97"/>
      <c r="O82" s="97"/>
      <c r="P82" s="97"/>
      <c r="Q82" s="120"/>
      <c r="R82" s="124"/>
      <c r="S82" s="125"/>
      <c r="T82" s="70">
        <f>T77+T78+T79+T80+T81</f>
        <v>50</v>
      </c>
    </row>
    <row r="83" spans="1:20" ht="15" customHeight="1" x14ac:dyDescent="0.2">
      <c r="A83" s="243" t="s">
        <v>79</v>
      </c>
      <c r="B83" s="324" t="s">
        <v>224</v>
      </c>
      <c r="C83" s="325"/>
      <c r="D83" s="298" t="s">
        <v>225</v>
      </c>
      <c r="E83" s="298"/>
      <c r="F83" s="298"/>
      <c r="G83" s="298"/>
      <c r="H83" s="298"/>
      <c r="I83" s="298"/>
      <c r="J83" s="298"/>
      <c r="K83" s="298"/>
      <c r="L83" s="101">
        <v>10</v>
      </c>
      <c r="M83" s="101"/>
      <c r="N83" s="102"/>
      <c r="O83" s="102"/>
      <c r="P83" s="102"/>
      <c r="Q83" s="126"/>
      <c r="R83" s="126"/>
      <c r="S83" s="126"/>
      <c r="T83" s="69">
        <f>L83+M83+N83+O83+P83+Q83+R83+S83</f>
        <v>10</v>
      </c>
    </row>
    <row r="84" spans="1:20" ht="15" customHeight="1" x14ac:dyDescent="0.2">
      <c r="A84" s="223"/>
      <c r="B84" s="331"/>
      <c r="C84" s="331"/>
      <c r="D84" s="209" t="s">
        <v>226</v>
      </c>
      <c r="E84" s="209"/>
      <c r="F84" s="209"/>
      <c r="G84" s="209"/>
      <c r="H84" s="209"/>
      <c r="I84" s="209"/>
      <c r="J84" s="209"/>
      <c r="K84" s="209"/>
      <c r="L84" s="98">
        <v>6</v>
      </c>
      <c r="M84" s="98"/>
      <c r="N84" s="16"/>
      <c r="O84" s="16"/>
      <c r="P84" s="16"/>
      <c r="Q84" s="116"/>
      <c r="R84" s="116"/>
      <c r="S84" s="116"/>
      <c r="T84" s="69">
        <f t="shared" ref="T84:T87" si="8">L84+M84+N84+O84+P84+Q84+R84+S84</f>
        <v>6</v>
      </c>
    </row>
    <row r="85" spans="1:20" ht="15" customHeight="1" x14ac:dyDescent="0.2">
      <c r="A85" s="223"/>
      <c r="B85" s="331"/>
      <c r="C85" s="331"/>
      <c r="D85" s="209" t="s">
        <v>227</v>
      </c>
      <c r="E85" s="209"/>
      <c r="F85" s="209"/>
      <c r="G85" s="209"/>
      <c r="H85" s="209"/>
      <c r="I85" s="209"/>
      <c r="J85" s="209"/>
      <c r="K85" s="209"/>
      <c r="L85" s="98">
        <v>7</v>
      </c>
      <c r="M85" s="98"/>
      <c r="N85" s="16"/>
      <c r="O85" s="16"/>
      <c r="P85" s="16"/>
      <c r="Q85" s="116"/>
      <c r="R85" s="116"/>
      <c r="S85" s="116"/>
      <c r="T85" s="69">
        <f t="shared" si="8"/>
        <v>7</v>
      </c>
    </row>
    <row r="86" spans="1:20" ht="15" customHeight="1" x14ac:dyDescent="0.2">
      <c r="A86" s="223"/>
      <c r="B86" s="331"/>
      <c r="C86" s="331"/>
      <c r="D86" s="209" t="s">
        <v>228</v>
      </c>
      <c r="E86" s="209"/>
      <c r="F86" s="209"/>
      <c r="G86" s="209"/>
      <c r="H86" s="209"/>
      <c r="I86" s="209"/>
      <c r="J86" s="209"/>
      <c r="K86" s="209"/>
      <c r="L86" s="98"/>
      <c r="M86" s="98"/>
      <c r="N86" s="16"/>
      <c r="O86" s="16"/>
      <c r="P86" s="16"/>
      <c r="Q86" s="116"/>
      <c r="R86" s="116"/>
      <c r="S86" s="116"/>
      <c r="T86" s="69">
        <f t="shared" si="8"/>
        <v>0</v>
      </c>
    </row>
    <row r="87" spans="1:20" ht="15" customHeight="1" x14ac:dyDescent="0.2">
      <c r="A87" s="244"/>
      <c r="B87" s="326"/>
      <c r="C87" s="326"/>
      <c r="D87" s="256" t="s">
        <v>229</v>
      </c>
      <c r="E87" s="256"/>
      <c r="F87" s="256"/>
      <c r="G87" s="256"/>
      <c r="H87" s="256"/>
      <c r="I87" s="256"/>
      <c r="J87" s="256"/>
      <c r="K87" s="256"/>
      <c r="L87" s="103"/>
      <c r="M87" s="103"/>
      <c r="N87" s="96"/>
      <c r="O87" s="96"/>
      <c r="P87" s="96"/>
      <c r="Q87" s="118"/>
      <c r="R87" s="118"/>
      <c r="S87" s="118"/>
      <c r="T87" s="69">
        <f t="shared" si="8"/>
        <v>0</v>
      </c>
    </row>
    <row r="88" spans="1:20" ht="19.5" customHeight="1" x14ac:dyDescent="0.2">
      <c r="A88" s="76"/>
      <c r="B88" s="77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97"/>
      <c r="O88" s="97"/>
      <c r="P88" s="97"/>
      <c r="Q88" s="120"/>
      <c r="R88" s="124"/>
      <c r="S88" s="125"/>
      <c r="T88" s="127">
        <f>T83+T84+T85+T86+T87</f>
        <v>23</v>
      </c>
    </row>
    <row r="89" spans="1:20" ht="12" customHeight="1" x14ac:dyDescent="0.2">
      <c r="A89" s="243" t="s">
        <v>81</v>
      </c>
      <c r="B89" s="324" t="s">
        <v>100</v>
      </c>
      <c r="C89" s="324"/>
      <c r="D89" s="298" t="s">
        <v>230</v>
      </c>
      <c r="E89" s="298"/>
      <c r="F89" s="298"/>
      <c r="G89" s="298"/>
      <c r="H89" s="298"/>
      <c r="I89" s="298"/>
      <c r="J89" s="298"/>
      <c r="K89" s="298"/>
      <c r="L89" s="101">
        <v>10</v>
      </c>
      <c r="M89" s="101"/>
      <c r="N89" s="102"/>
      <c r="O89" s="102"/>
      <c r="P89" s="102"/>
      <c r="Q89" s="126"/>
      <c r="R89" s="126"/>
      <c r="S89" s="126"/>
      <c r="T89" s="128">
        <f>L89+M89+N89+O89+P89+Q89+R89+S89</f>
        <v>10</v>
      </c>
    </row>
    <row r="90" spans="1:20" ht="12" customHeight="1" x14ac:dyDescent="0.2">
      <c r="A90" s="223"/>
      <c r="B90" s="224"/>
      <c r="C90" s="224"/>
      <c r="D90" s="209" t="s">
        <v>231</v>
      </c>
      <c r="E90" s="209"/>
      <c r="F90" s="209"/>
      <c r="G90" s="209"/>
      <c r="H90" s="209"/>
      <c r="I90" s="209"/>
      <c r="J90" s="209"/>
      <c r="K90" s="209"/>
      <c r="L90" s="98">
        <v>7</v>
      </c>
      <c r="M90" s="98"/>
      <c r="N90" s="16"/>
      <c r="O90" s="16"/>
      <c r="P90" s="16"/>
      <c r="Q90" s="116"/>
      <c r="R90" s="116"/>
      <c r="S90" s="116"/>
      <c r="T90" s="128">
        <f t="shared" ref="T90:T92" si="9">L90+M90+N90+O90+P90+Q90+R90+S90</f>
        <v>7</v>
      </c>
    </row>
    <row r="91" spans="1:20" ht="12" customHeight="1" x14ac:dyDescent="0.2">
      <c r="A91" s="223"/>
      <c r="B91" s="224"/>
      <c r="C91" s="224"/>
      <c r="D91" s="209" t="s">
        <v>232</v>
      </c>
      <c r="E91" s="209"/>
      <c r="F91" s="209"/>
      <c r="G91" s="209"/>
      <c r="H91" s="209"/>
      <c r="I91" s="209"/>
      <c r="J91" s="209"/>
      <c r="K91" s="209"/>
      <c r="L91" s="98">
        <v>10</v>
      </c>
      <c r="M91" s="98"/>
      <c r="N91" s="16"/>
      <c r="O91" s="16"/>
      <c r="P91" s="16"/>
      <c r="Q91" s="116"/>
      <c r="R91" s="116"/>
      <c r="S91" s="116"/>
      <c r="T91" s="128">
        <f t="shared" si="9"/>
        <v>10</v>
      </c>
    </row>
    <row r="92" spans="1:20" ht="12" customHeight="1" x14ac:dyDescent="0.2">
      <c r="A92" s="244"/>
      <c r="B92" s="359"/>
      <c r="C92" s="359"/>
      <c r="D92" s="286" t="s">
        <v>233</v>
      </c>
      <c r="E92" s="286"/>
      <c r="F92" s="286"/>
      <c r="G92" s="286"/>
      <c r="H92" s="286"/>
      <c r="I92" s="286"/>
      <c r="J92" s="286"/>
      <c r="K92" s="286"/>
      <c r="L92" s="104"/>
      <c r="M92" s="104"/>
      <c r="N92" s="96"/>
      <c r="O92" s="96"/>
      <c r="P92" s="96"/>
      <c r="Q92" s="118"/>
      <c r="R92" s="118"/>
      <c r="S92" s="118"/>
      <c r="T92" s="128">
        <f t="shared" si="9"/>
        <v>0</v>
      </c>
    </row>
    <row r="93" spans="1:20" ht="12" customHeight="1" x14ac:dyDescent="0.2">
      <c r="A93" s="37"/>
      <c r="B93" s="80"/>
      <c r="C93" s="39"/>
      <c r="D93" s="81"/>
      <c r="E93" s="81"/>
      <c r="F93" s="81"/>
      <c r="G93" s="81"/>
      <c r="H93" s="81"/>
      <c r="I93" s="105"/>
      <c r="J93" s="105"/>
      <c r="K93" s="105"/>
      <c r="L93" s="81"/>
      <c r="M93" s="81"/>
      <c r="N93" s="97"/>
      <c r="O93" s="97"/>
      <c r="P93" s="97"/>
      <c r="Q93" s="75"/>
      <c r="R93" s="121"/>
      <c r="S93" s="124"/>
      <c r="T93" s="129">
        <f>T89+T90+T91+T92</f>
        <v>27</v>
      </c>
    </row>
    <row r="94" spans="1:20" ht="12.75" customHeight="1" x14ac:dyDescent="0.2">
      <c r="A94" s="296" t="s">
        <v>87</v>
      </c>
      <c r="B94" s="358" t="s">
        <v>101</v>
      </c>
      <c r="C94" s="358"/>
      <c r="D94" s="298" t="s">
        <v>234</v>
      </c>
      <c r="E94" s="298"/>
      <c r="F94" s="298"/>
      <c r="G94" s="298"/>
      <c r="H94" s="298"/>
      <c r="I94" s="298"/>
      <c r="J94" s="298"/>
      <c r="K94" s="298"/>
      <c r="L94" s="101"/>
      <c r="M94" s="101"/>
      <c r="N94" s="102"/>
      <c r="O94" s="102"/>
      <c r="P94" s="102"/>
      <c r="Q94" s="126"/>
      <c r="R94" s="126"/>
      <c r="S94" s="126"/>
      <c r="T94" s="128">
        <f>L94+M94+N94+O94+P94+Q94+R94+S94</f>
        <v>0</v>
      </c>
    </row>
    <row r="95" spans="1:20" ht="12.75" customHeight="1" x14ac:dyDescent="0.2">
      <c r="A95" s="297"/>
      <c r="B95" s="343"/>
      <c r="C95" s="343"/>
      <c r="D95" s="286"/>
      <c r="E95" s="286"/>
      <c r="F95" s="286"/>
      <c r="G95" s="286"/>
      <c r="H95" s="286"/>
      <c r="I95" s="286"/>
      <c r="J95" s="286"/>
      <c r="K95" s="286"/>
      <c r="L95" s="106"/>
      <c r="M95" s="106"/>
      <c r="N95" s="96"/>
      <c r="O95" s="96"/>
      <c r="P95" s="96"/>
      <c r="Q95" s="118"/>
      <c r="R95" s="118"/>
      <c r="S95" s="118"/>
      <c r="T95" s="130"/>
    </row>
    <row r="96" spans="1:20" ht="0.75" customHeight="1" x14ac:dyDescent="0.2">
      <c r="A96" s="82"/>
      <c r="B96" s="83"/>
      <c r="C96" s="8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97"/>
      <c r="O96" s="97"/>
      <c r="P96" s="97"/>
      <c r="Q96" s="75"/>
      <c r="R96" s="131"/>
      <c r="S96" s="131"/>
      <c r="T96" s="132">
        <f>T94+T95</f>
        <v>0</v>
      </c>
    </row>
    <row r="97" spans="1:20" ht="15.75" customHeight="1" x14ac:dyDescent="0.2">
      <c r="A97" s="85" t="s">
        <v>89</v>
      </c>
      <c r="B97" s="299" t="s">
        <v>102</v>
      </c>
      <c r="C97" s="300"/>
      <c r="D97" s="301" t="s">
        <v>235</v>
      </c>
      <c r="E97" s="301"/>
      <c r="F97" s="301"/>
      <c r="G97" s="301"/>
      <c r="H97" s="301"/>
      <c r="I97" s="301"/>
      <c r="J97" s="301"/>
      <c r="K97" s="301"/>
      <c r="L97" s="107"/>
      <c r="M97" s="107"/>
      <c r="N97" s="108"/>
      <c r="O97" s="108"/>
      <c r="P97" s="108"/>
      <c r="Q97" s="133"/>
      <c r="R97" s="133"/>
      <c r="S97" s="133"/>
      <c r="T97" s="134">
        <f>L97+M97+N97+O97+P97+Q97+R97+S97</f>
        <v>0</v>
      </c>
    </row>
    <row r="98" spans="1:20" ht="12.75" customHeight="1" x14ac:dyDescent="0.2">
      <c r="A98" s="302" t="s">
        <v>236</v>
      </c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89"/>
      <c r="T98" s="134">
        <f>T82+T88+T93+T94+T97</f>
        <v>100</v>
      </c>
    </row>
    <row r="99" spans="1:20" ht="24" customHeight="1" x14ac:dyDescent="0.2">
      <c r="A99" s="304" t="s">
        <v>237</v>
      </c>
      <c r="B99" s="305"/>
      <c r="C99" s="305"/>
      <c r="D99" s="305"/>
      <c r="E99" s="305"/>
      <c r="F99" s="306"/>
      <c r="G99" s="307" t="s">
        <v>184</v>
      </c>
      <c r="H99" s="216"/>
      <c r="I99" s="216"/>
      <c r="J99" s="216"/>
      <c r="K99" s="216"/>
      <c r="L99" s="216"/>
      <c r="M99" s="216"/>
      <c r="N99" s="216"/>
      <c r="O99" s="216"/>
      <c r="P99" s="50" t="s">
        <v>185</v>
      </c>
      <c r="Q99" s="50" t="s">
        <v>186</v>
      </c>
      <c r="R99" s="50" t="s">
        <v>187</v>
      </c>
      <c r="S99" s="50" t="s">
        <v>188</v>
      </c>
      <c r="T99" s="69" t="s">
        <v>165</v>
      </c>
    </row>
    <row r="100" spans="1:20" ht="12" customHeight="1" x14ac:dyDescent="0.2">
      <c r="A100" s="19" t="s">
        <v>238</v>
      </c>
      <c r="B100" s="308" t="s">
        <v>239</v>
      </c>
      <c r="C100" s="257"/>
      <c r="D100" s="257"/>
      <c r="E100" s="257"/>
      <c r="F100" s="257"/>
      <c r="G100" s="257" t="s">
        <v>240</v>
      </c>
      <c r="H100" s="257"/>
      <c r="I100" s="257"/>
      <c r="J100" s="257"/>
      <c r="K100" s="257"/>
      <c r="L100" s="257"/>
      <c r="M100" s="257"/>
      <c r="N100" s="257"/>
      <c r="O100" s="257"/>
      <c r="P100" s="16">
        <v>40</v>
      </c>
      <c r="Q100" s="116">
        <v>40</v>
      </c>
      <c r="R100" s="116"/>
      <c r="S100" s="116"/>
      <c r="T100" s="135">
        <f>P100+Q100+R100+S100</f>
        <v>80</v>
      </c>
    </row>
    <row r="101" spans="1:20" ht="9.75" customHeight="1" x14ac:dyDescent="0.2">
      <c r="A101" s="223" t="s">
        <v>241</v>
      </c>
      <c r="B101" s="262" t="s">
        <v>242</v>
      </c>
      <c r="C101" s="263"/>
      <c r="D101" s="263"/>
      <c r="E101" s="263"/>
      <c r="F101" s="263"/>
      <c r="G101" s="257" t="s">
        <v>243</v>
      </c>
      <c r="H101" s="257"/>
      <c r="I101" s="257"/>
      <c r="J101" s="257"/>
      <c r="K101" s="257"/>
      <c r="L101" s="257"/>
      <c r="M101" s="257"/>
      <c r="N101" s="257"/>
      <c r="O101" s="257"/>
      <c r="P101" s="16">
        <v>20</v>
      </c>
      <c r="Q101" s="116"/>
      <c r="R101" s="116"/>
      <c r="S101" s="116"/>
      <c r="T101" s="135">
        <f t="shared" ref="T101:T103" si="10">P101+Q101+R101+S101</f>
        <v>20</v>
      </c>
    </row>
    <row r="102" spans="1:20" ht="9.75" customHeight="1" x14ac:dyDescent="0.2">
      <c r="A102" s="223"/>
      <c r="B102" s="263"/>
      <c r="C102" s="263"/>
      <c r="D102" s="263"/>
      <c r="E102" s="263"/>
      <c r="F102" s="263"/>
      <c r="G102" s="257" t="s">
        <v>244</v>
      </c>
      <c r="H102" s="257"/>
      <c r="I102" s="257"/>
      <c r="J102" s="257"/>
      <c r="K102" s="257"/>
      <c r="L102" s="257"/>
      <c r="M102" s="257"/>
      <c r="N102" s="257"/>
      <c r="O102" s="257"/>
      <c r="P102" s="16"/>
      <c r="Q102" s="116"/>
      <c r="R102" s="116"/>
      <c r="S102" s="116"/>
      <c r="T102" s="135">
        <f t="shared" si="10"/>
        <v>0</v>
      </c>
    </row>
    <row r="103" spans="1:20" ht="9.75" customHeight="1" x14ac:dyDescent="0.2">
      <c r="A103" s="223"/>
      <c r="B103" s="263"/>
      <c r="C103" s="263"/>
      <c r="D103" s="263"/>
      <c r="E103" s="263"/>
      <c r="F103" s="263"/>
      <c r="G103" s="257" t="s">
        <v>245</v>
      </c>
      <c r="H103" s="257"/>
      <c r="I103" s="257"/>
      <c r="J103" s="257"/>
      <c r="K103" s="257"/>
      <c r="L103" s="257"/>
      <c r="M103" s="257"/>
      <c r="N103" s="257"/>
      <c r="O103" s="257"/>
      <c r="P103" s="16"/>
      <c r="Q103" s="116"/>
      <c r="R103" s="116"/>
      <c r="S103" s="116"/>
      <c r="T103" s="135">
        <f t="shared" si="10"/>
        <v>0</v>
      </c>
    </row>
    <row r="104" spans="1:20" ht="9" customHeight="1" x14ac:dyDescent="0.2">
      <c r="A104" s="19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23"/>
      <c r="M104" s="23"/>
      <c r="N104" s="23"/>
      <c r="O104" s="23"/>
      <c r="P104" s="16"/>
      <c r="Q104" s="116"/>
      <c r="R104" s="136"/>
      <c r="S104" s="136"/>
      <c r="T104" s="137">
        <f>T100+T101+T102+T103</f>
        <v>100</v>
      </c>
    </row>
    <row r="105" spans="1:20" ht="9.75" customHeight="1" x14ac:dyDescent="0.2">
      <c r="A105" s="223" t="s">
        <v>246</v>
      </c>
      <c r="B105" s="262" t="s">
        <v>247</v>
      </c>
      <c r="C105" s="263"/>
      <c r="D105" s="263"/>
      <c r="E105" s="263"/>
      <c r="F105" s="263"/>
      <c r="G105" s="238" t="s">
        <v>248</v>
      </c>
      <c r="H105" s="238"/>
      <c r="I105" s="238"/>
      <c r="J105" s="238"/>
      <c r="K105" s="238"/>
      <c r="L105" s="238"/>
      <c r="M105" s="238"/>
      <c r="N105" s="238"/>
      <c r="O105" s="238"/>
      <c r="P105" s="16"/>
      <c r="Q105" s="116"/>
      <c r="R105" s="116"/>
      <c r="S105" s="116"/>
      <c r="T105" s="135">
        <f>P105+Q105+R105+S105</f>
        <v>0</v>
      </c>
    </row>
    <row r="106" spans="1:20" ht="9.75" customHeight="1" x14ac:dyDescent="0.2">
      <c r="A106" s="223"/>
      <c r="B106" s="263"/>
      <c r="C106" s="263"/>
      <c r="D106" s="263"/>
      <c r="E106" s="263"/>
      <c r="F106" s="263"/>
      <c r="G106" s="238" t="s">
        <v>249</v>
      </c>
      <c r="H106" s="238"/>
      <c r="I106" s="238"/>
      <c r="J106" s="238"/>
      <c r="K106" s="238"/>
      <c r="L106" s="238"/>
      <c r="M106" s="238"/>
      <c r="N106" s="238"/>
      <c r="O106" s="238"/>
      <c r="P106" s="16"/>
      <c r="Q106" s="116"/>
      <c r="R106" s="116"/>
      <c r="S106" s="116"/>
      <c r="T106" s="135">
        <f t="shared" ref="T106:T112" si="11">P106+Q106+R106+S106</f>
        <v>0</v>
      </c>
    </row>
    <row r="107" spans="1:20" ht="9.75" customHeight="1" x14ac:dyDescent="0.2">
      <c r="A107" s="223"/>
      <c r="B107" s="263"/>
      <c r="C107" s="263"/>
      <c r="D107" s="263"/>
      <c r="E107" s="263"/>
      <c r="F107" s="263"/>
      <c r="G107" s="238" t="s">
        <v>250</v>
      </c>
      <c r="H107" s="238"/>
      <c r="I107" s="238"/>
      <c r="J107" s="238"/>
      <c r="K107" s="238"/>
      <c r="L107" s="238"/>
      <c r="M107" s="238"/>
      <c r="N107" s="238"/>
      <c r="O107" s="238"/>
      <c r="P107" s="16">
        <v>30</v>
      </c>
      <c r="Q107" s="116"/>
      <c r="R107" s="116"/>
      <c r="S107" s="116"/>
      <c r="T107" s="135">
        <f t="shared" si="11"/>
        <v>30</v>
      </c>
    </row>
    <row r="108" spans="1:20" ht="9.75" customHeight="1" x14ac:dyDescent="0.2">
      <c r="A108" s="223"/>
      <c r="B108" s="263"/>
      <c r="C108" s="263"/>
      <c r="D108" s="263"/>
      <c r="E108" s="263"/>
      <c r="F108" s="263"/>
      <c r="G108" s="238" t="s">
        <v>251</v>
      </c>
      <c r="H108" s="238"/>
      <c r="I108" s="238"/>
      <c r="J108" s="238"/>
      <c r="K108" s="238"/>
      <c r="L108" s="238"/>
      <c r="M108" s="238"/>
      <c r="N108" s="238"/>
      <c r="O108" s="238"/>
      <c r="P108" s="16"/>
      <c r="Q108" s="116"/>
      <c r="R108" s="116"/>
      <c r="S108" s="116"/>
      <c r="T108" s="135">
        <f t="shared" si="11"/>
        <v>0</v>
      </c>
    </row>
    <row r="109" spans="1:20" ht="9.75" customHeight="1" x14ac:dyDescent="0.2">
      <c r="A109" s="223"/>
      <c r="B109" s="263"/>
      <c r="C109" s="263"/>
      <c r="D109" s="263"/>
      <c r="E109" s="263"/>
      <c r="F109" s="263"/>
      <c r="G109" s="238" t="s">
        <v>252</v>
      </c>
      <c r="H109" s="238"/>
      <c r="I109" s="238"/>
      <c r="J109" s="238"/>
      <c r="K109" s="238"/>
      <c r="L109" s="238"/>
      <c r="M109" s="238"/>
      <c r="N109" s="238"/>
      <c r="O109" s="238"/>
      <c r="P109" s="16"/>
      <c r="Q109" s="116"/>
      <c r="R109" s="116"/>
      <c r="S109" s="116"/>
      <c r="T109" s="135">
        <f t="shared" si="11"/>
        <v>0</v>
      </c>
    </row>
    <row r="110" spans="1:20" ht="9.75" customHeight="1" x14ac:dyDescent="0.2">
      <c r="A110" s="223"/>
      <c r="B110" s="263"/>
      <c r="C110" s="263"/>
      <c r="D110" s="263"/>
      <c r="E110" s="263"/>
      <c r="F110" s="263"/>
      <c r="G110" s="257" t="s">
        <v>253</v>
      </c>
      <c r="H110" s="257"/>
      <c r="I110" s="257"/>
      <c r="J110" s="257"/>
      <c r="K110" s="257"/>
      <c r="L110" s="257"/>
      <c r="M110" s="257"/>
      <c r="N110" s="257"/>
      <c r="O110" s="257"/>
      <c r="P110" s="16"/>
      <c r="Q110" s="116"/>
      <c r="R110" s="116"/>
      <c r="S110" s="116"/>
      <c r="T110" s="135">
        <f t="shared" si="11"/>
        <v>0</v>
      </c>
    </row>
    <row r="111" spans="1:20" ht="9.75" customHeight="1" x14ac:dyDescent="0.2">
      <c r="A111" s="223"/>
      <c r="B111" s="263"/>
      <c r="C111" s="263"/>
      <c r="D111" s="263"/>
      <c r="E111" s="263"/>
      <c r="F111" s="263"/>
      <c r="G111" s="257" t="s">
        <v>254</v>
      </c>
      <c r="H111" s="257"/>
      <c r="I111" s="257"/>
      <c r="J111" s="257"/>
      <c r="K111" s="257"/>
      <c r="L111" s="257"/>
      <c r="M111" s="257"/>
      <c r="N111" s="257"/>
      <c r="O111" s="257"/>
      <c r="P111" s="16"/>
      <c r="Q111" s="116"/>
      <c r="R111" s="116"/>
      <c r="S111" s="116"/>
      <c r="T111" s="135">
        <f t="shared" si="11"/>
        <v>0</v>
      </c>
    </row>
    <row r="112" spans="1:20" ht="9.75" customHeight="1" x14ac:dyDescent="0.2">
      <c r="A112" s="223"/>
      <c r="B112" s="263"/>
      <c r="C112" s="263"/>
      <c r="D112" s="263"/>
      <c r="E112" s="263"/>
      <c r="F112" s="263"/>
      <c r="G112" s="257" t="s">
        <v>255</v>
      </c>
      <c r="H112" s="257"/>
      <c r="I112" s="257"/>
      <c r="J112" s="257"/>
      <c r="K112" s="257"/>
      <c r="L112" s="257"/>
      <c r="M112" s="257"/>
      <c r="N112" s="257"/>
      <c r="O112" s="257"/>
      <c r="P112" s="16"/>
      <c r="Q112" s="116"/>
      <c r="R112" s="116"/>
      <c r="S112" s="116"/>
      <c r="T112" s="135">
        <f t="shared" si="11"/>
        <v>0</v>
      </c>
    </row>
    <row r="113" spans="1:20" ht="12" customHeight="1" x14ac:dyDescent="0.2">
      <c r="A113" s="19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23"/>
      <c r="M113" s="23"/>
      <c r="N113" s="23"/>
      <c r="O113" s="23"/>
      <c r="P113" s="16"/>
      <c r="Q113" s="116"/>
      <c r="R113" s="136"/>
      <c r="S113" s="136"/>
      <c r="T113" s="138">
        <f>T105+T106+T107+T108+T109+T110+T111+T112</f>
        <v>30</v>
      </c>
    </row>
    <row r="114" spans="1:20" ht="15" customHeight="1" x14ac:dyDescent="0.2">
      <c r="A114" s="223" t="s">
        <v>256</v>
      </c>
      <c r="B114" s="332" t="s">
        <v>257</v>
      </c>
      <c r="C114" s="332"/>
      <c r="D114" s="332"/>
      <c r="E114" s="332"/>
      <c r="F114" s="332"/>
      <c r="G114" s="238" t="s">
        <v>258</v>
      </c>
      <c r="H114" s="238"/>
      <c r="I114" s="238"/>
      <c r="J114" s="238"/>
      <c r="K114" s="238"/>
      <c r="L114" s="238"/>
      <c r="M114" s="238"/>
      <c r="N114" s="238"/>
      <c r="O114" s="238"/>
      <c r="P114" s="16">
        <v>320</v>
      </c>
      <c r="Q114" s="116"/>
      <c r="R114" s="116"/>
      <c r="S114" s="116"/>
      <c r="T114" s="135">
        <f>P114+Q114+R114+S114</f>
        <v>320</v>
      </c>
    </row>
    <row r="115" spans="1:20" ht="15" customHeight="1" x14ac:dyDescent="0.2">
      <c r="A115" s="244"/>
      <c r="B115" s="332"/>
      <c r="C115" s="332"/>
      <c r="D115" s="332"/>
      <c r="E115" s="332"/>
      <c r="F115" s="332"/>
      <c r="G115" s="238" t="s">
        <v>259</v>
      </c>
      <c r="H115" s="238"/>
      <c r="I115" s="238"/>
      <c r="J115" s="238"/>
      <c r="K115" s="238"/>
      <c r="L115" s="238"/>
      <c r="M115" s="238"/>
      <c r="N115" s="238"/>
      <c r="O115" s="238"/>
      <c r="P115" s="16"/>
      <c r="Q115" s="116"/>
      <c r="R115" s="116"/>
      <c r="S115" s="116"/>
      <c r="T115" s="139">
        <f>P115+Q115+R115+S116</f>
        <v>0</v>
      </c>
    </row>
    <row r="116" spans="1:20" ht="12" customHeight="1" x14ac:dyDescent="0.2">
      <c r="A116" s="87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109"/>
      <c r="M116" s="109"/>
      <c r="N116" s="109"/>
      <c r="O116" s="109"/>
      <c r="P116" s="110"/>
      <c r="Q116" s="140"/>
      <c r="R116" s="141"/>
      <c r="S116" s="142"/>
      <c r="T116" s="143">
        <f>T114+T115</f>
        <v>320</v>
      </c>
    </row>
    <row r="117" spans="1:20" ht="22.5" customHeight="1" x14ac:dyDescent="0.2">
      <c r="A117" s="258" t="s">
        <v>260</v>
      </c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60"/>
      <c r="T117" s="144">
        <f>T104+T113+T116</f>
        <v>450</v>
      </c>
    </row>
    <row r="118" spans="1:20" ht="15.75" customHeight="1" x14ac:dyDescent="0.2">
      <c r="A118" s="333" t="s">
        <v>261</v>
      </c>
      <c r="B118" s="261"/>
      <c r="C118" s="261"/>
      <c r="D118" s="261" t="s">
        <v>14</v>
      </c>
      <c r="E118" s="261"/>
      <c r="F118" s="261"/>
      <c r="G118" s="261"/>
      <c r="H118" s="261"/>
      <c r="I118" s="261"/>
      <c r="J118" s="261"/>
      <c r="K118" s="261"/>
      <c r="L118" s="261" t="s">
        <v>185</v>
      </c>
      <c r="M118" s="261"/>
      <c r="N118" s="226" t="s">
        <v>186</v>
      </c>
      <c r="O118" s="226"/>
      <c r="P118" s="240" t="s">
        <v>187</v>
      </c>
      <c r="Q118" s="240"/>
      <c r="R118" s="240" t="s">
        <v>188</v>
      </c>
      <c r="S118" s="240"/>
      <c r="T118" s="316" t="s">
        <v>165</v>
      </c>
    </row>
    <row r="119" spans="1:20" ht="18.75" customHeight="1" x14ac:dyDescent="0.2">
      <c r="A119" s="334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99" t="s">
        <v>216</v>
      </c>
      <c r="M119" s="99" t="s">
        <v>217</v>
      </c>
      <c r="N119" s="99" t="s">
        <v>216</v>
      </c>
      <c r="O119" s="99" t="s">
        <v>217</v>
      </c>
      <c r="P119" s="99" t="s">
        <v>216</v>
      </c>
      <c r="Q119" s="99" t="s">
        <v>217</v>
      </c>
      <c r="R119" s="99" t="s">
        <v>216</v>
      </c>
      <c r="S119" s="99" t="s">
        <v>217</v>
      </c>
      <c r="T119" s="315"/>
    </row>
    <row r="120" spans="1:20" ht="40.5" customHeight="1" x14ac:dyDescent="0.2">
      <c r="A120" s="19" t="s">
        <v>238</v>
      </c>
      <c r="B120" s="270" t="s">
        <v>262</v>
      </c>
      <c r="C120" s="271"/>
      <c r="D120" s="272" t="s">
        <v>263</v>
      </c>
      <c r="E120" s="262"/>
      <c r="F120" s="262"/>
      <c r="G120" s="262"/>
      <c r="H120" s="262"/>
      <c r="I120" s="262"/>
      <c r="J120" s="262"/>
      <c r="K120" s="262"/>
      <c r="L120" s="111">
        <v>40</v>
      </c>
      <c r="M120" s="111"/>
      <c r="N120" s="111"/>
      <c r="O120" s="111"/>
      <c r="P120" s="111"/>
      <c r="Q120" s="116"/>
      <c r="R120" s="116"/>
      <c r="S120" s="116"/>
      <c r="T120" s="135">
        <f>L120+M120+N120+O120+P120+Q120+R120+S120</f>
        <v>40</v>
      </c>
    </row>
    <row r="121" spans="1:20" ht="15.75" customHeight="1" x14ac:dyDescent="0.2">
      <c r="A121" s="273" t="s">
        <v>264</v>
      </c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89"/>
      <c r="T121" s="135">
        <f>L120+M120+N120+O120+P120+Q120+R120+S120</f>
        <v>40</v>
      </c>
    </row>
    <row r="122" spans="1:20" ht="17.25" customHeight="1" x14ac:dyDescent="0.2">
      <c r="A122" s="90" t="s">
        <v>265</v>
      </c>
      <c r="B122" s="91"/>
      <c r="C122" s="92"/>
      <c r="D122" s="93"/>
      <c r="E122" s="275" t="s">
        <v>184</v>
      </c>
      <c r="F122" s="276"/>
      <c r="G122" s="276"/>
      <c r="H122" s="276"/>
      <c r="I122" s="276"/>
      <c r="J122" s="276"/>
      <c r="K122" s="276"/>
      <c r="L122" s="276"/>
      <c r="M122" s="276"/>
      <c r="N122" s="276"/>
      <c r="O122" s="277"/>
      <c r="P122" s="49" t="s">
        <v>185</v>
      </c>
      <c r="Q122" s="49" t="s">
        <v>186</v>
      </c>
      <c r="R122" s="49" t="s">
        <v>187</v>
      </c>
      <c r="S122" s="49" t="s">
        <v>188</v>
      </c>
      <c r="T122" s="68" t="s">
        <v>165</v>
      </c>
    </row>
    <row r="123" spans="1:20" ht="12.75" customHeight="1" x14ac:dyDescent="0.2">
      <c r="A123" s="282" t="s">
        <v>71</v>
      </c>
      <c r="B123" s="329" t="s">
        <v>266</v>
      </c>
      <c r="C123" s="330"/>
      <c r="D123" s="330"/>
      <c r="E123" s="278" t="s">
        <v>219</v>
      </c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112"/>
      <c r="Q123" s="145"/>
      <c r="R123" s="145"/>
      <c r="S123" s="145"/>
      <c r="T123" s="146"/>
    </row>
    <row r="124" spans="1:20" ht="12.75" customHeight="1" x14ac:dyDescent="0.2">
      <c r="A124" s="223"/>
      <c r="B124" s="331"/>
      <c r="C124" s="331"/>
      <c r="D124" s="331"/>
      <c r="E124" s="209" t="s">
        <v>267</v>
      </c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98"/>
      <c r="Q124" s="51"/>
      <c r="R124" s="51"/>
      <c r="S124" s="51"/>
      <c r="T124" s="74"/>
    </row>
    <row r="125" spans="1:20" ht="12.75" customHeight="1" x14ac:dyDescent="0.2">
      <c r="A125" s="223"/>
      <c r="B125" s="331"/>
      <c r="C125" s="331"/>
      <c r="D125" s="331"/>
      <c r="E125" s="209" t="s">
        <v>268</v>
      </c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98"/>
      <c r="Q125" s="51"/>
      <c r="R125" s="51"/>
      <c r="S125" s="51"/>
      <c r="T125" s="74"/>
    </row>
    <row r="126" spans="1:20" ht="21" customHeight="1" x14ac:dyDescent="0.2">
      <c r="A126" s="223"/>
      <c r="B126" s="331"/>
      <c r="C126" s="331"/>
      <c r="D126" s="331"/>
      <c r="E126" s="209" t="s">
        <v>269</v>
      </c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98"/>
      <c r="Q126" s="51"/>
      <c r="R126" s="51"/>
      <c r="S126" s="51"/>
      <c r="T126" s="74"/>
    </row>
    <row r="127" spans="1:20" ht="17.25" customHeight="1" x14ac:dyDescent="0.2">
      <c r="A127" s="76"/>
      <c r="B127" s="94"/>
      <c r="C127" s="94"/>
      <c r="D127" s="94"/>
      <c r="E127" s="81"/>
      <c r="F127" s="81"/>
      <c r="G127" s="81"/>
      <c r="H127" s="81"/>
      <c r="I127" s="81"/>
      <c r="J127" s="81"/>
      <c r="K127" s="81"/>
      <c r="L127" s="113"/>
      <c r="M127" s="113"/>
      <c r="N127" s="113"/>
      <c r="O127" s="113"/>
      <c r="P127" s="97">
        <f>P123+P124+P125+P126</f>
        <v>0</v>
      </c>
      <c r="Q127" s="97">
        <f>Q123+Q124+Q125+Q126</f>
        <v>0</v>
      </c>
      <c r="R127" s="97">
        <f>R123+R124+R125+R126</f>
        <v>0</v>
      </c>
      <c r="S127" s="97">
        <f>S123+S124+S125+S126</f>
        <v>0</v>
      </c>
      <c r="T127" s="147">
        <f>P127+Q127+R127+S127</f>
        <v>0</v>
      </c>
    </row>
    <row r="128" spans="1:20" ht="27.75" customHeight="1" x14ac:dyDescent="0.2">
      <c r="A128" s="95"/>
      <c r="B128" s="279" t="s">
        <v>270</v>
      </c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1"/>
      <c r="Q128" s="281"/>
      <c r="R128" s="281"/>
      <c r="S128" s="148"/>
      <c r="T128" s="147">
        <f>P127:T127</f>
        <v>0</v>
      </c>
    </row>
    <row r="129" spans="1:20" ht="51.75" customHeight="1" x14ac:dyDescent="0.2">
      <c r="A129" s="283" t="s">
        <v>271</v>
      </c>
      <c r="B129" s="284"/>
      <c r="C129" s="284"/>
      <c r="D129" s="284"/>
      <c r="E129" s="264" t="s">
        <v>272</v>
      </c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151">
        <v>50</v>
      </c>
      <c r="Q129" s="151"/>
      <c r="R129" s="151"/>
      <c r="S129" s="151"/>
      <c r="T129" s="154">
        <f>P129+Q129+R129+S129</f>
        <v>50</v>
      </c>
    </row>
    <row r="130" spans="1:20" ht="22.5" customHeight="1" x14ac:dyDescent="0.2">
      <c r="A130" s="265" t="s">
        <v>273</v>
      </c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155">
        <f>T74+T98+T117+T121+T128</f>
        <v>740</v>
      </c>
    </row>
    <row r="131" spans="1:20" ht="23.25" customHeight="1" x14ac:dyDescent="0.2">
      <c r="A131" s="267" t="s">
        <v>274</v>
      </c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3"/>
      <c r="T131" s="156"/>
    </row>
    <row r="132" spans="1:20" ht="32.25" customHeight="1" x14ac:dyDescent="0.2">
      <c r="A132" s="327" t="s">
        <v>275</v>
      </c>
      <c r="B132" s="220"/>
      <c r="C132" s="220"/>
      <c r="D132" s="220" t="s">
        <v>184</v>
      </c>
      <c r="E132" s="220"/>
      <c r="F132" s="220"/>
      <c r="G132" s="220"/>
      <c r="H132" s="220"/>
      <c r="I132" s="220"/>
      <c r="J132" s="220"/>
      <c r="K132" s="220"/>
      <c r="L132" s="220" t="s">
        <v>185</v>
      </c>
      <c r="M132" s="220"/>
      <c r="N132" s="226" t="s">
        <v>186</v>
      </c>
      <c r="O132" s="226"/>
      <c r="P132" s="240" t="s">
        <v>187</v>
      </c>
      <c r="Q132" s="240"/>
      <c r="R132" s="240" t="s">
        <v>188</v>
      </c>
      <c r="S132" s="240"/>
      <c r="T132" s="316" t="s">
        <v>165</v>
      </c>
    </row>
    <row r="133" spans="1:20" ht="23.25" customHeight="1" x14ac:dyDescent="0.2">
      <c r="A133" s="328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152" t="s">
        <v>216</v>
      </c>
      <c r="M133" s="152" t="s">
        <v>217</v>
      </c>
      <c r="N133" s="152" t="s">
        <v>216</v>
      </c>
      <c r="O133" s="152" t="s">
        <v>217</v>
      </c>
      <c r="P133" s="152" t="s">
        <v>216</v>
      </c>
      <c r="Q133" s="152" t="s">
        <v>217</v>
      </c>
      <c r="R133" s="152" t="s">
        <v>216</v>
      </c>
      <c r="S133" s="152" t="s">
        <v>217</v>
      </c>
      <c r="T133" s="317"/>
    </row>
    <row r="134" spans="1:20" ht="18.75" customHeight="1" x14ac:dyDescent="0.2">
      <c r="A134" s="243" t="s">
        <v>276</v>
      </c>
      <c r="B134" s="324" t="s">
        <v>277</v>
      </c>
      <c r="C134" s="325"/>
      <c r="D134" s="269" t="s">
        <v>240</v>
      </c>
      <c r="E134" s="269"/>
      <c r="F134" s="269"/>
      <c r="G134" s="269"/>
      <c r="H134" s="269"/>
      <c r="I134" s="269"/>
      <c r="J134" s="269"/>
      <c r="K134" s="269"/>
      <c r="L134" s="102">
        <v>20</v>
      </c>
      <c r="M134" s="102"/>
      <c r="N134" s="102"/>
      <c r="O134" s="102"/>
      <c r="P134" s="102"/>
      <c r="Q134" s="126"/>
      <c r="R134" s="126"/>
      <c r="S134" s="126"/>
      <c r="T134" s="128">
        <f>L134+M134+N134+O134+P134+Q134+R134+S134</f>
        <v>20</v>
      </c>
    </row>
    <row r="135" spans="1:20" ht="18.75" customHeight="1" x14ac:dyDescent="0.2">
      <c r="A135" s="244"/>
      <c r="B135" s="326"/>
      <c r="C135" s="326"/>
      <c r="D135" s="286" t="s">
        <v>278</v>
      </c>
      <c r="E135" s="286"/>
      <c r="F135" s="286"/>
      <c r="G135" s="286"/>
      <c r="H135" s="286"/>
      <c r="I135" s="286"/>
      <c r="J135" s="286"/>
      <c r="K135" s="286"/>
      <c r="L135" s="104"/>
      <c r="M135" s="104"/>
      <c r="N135" s="96"/>
      <c r="O135" s="96"/>
      <c r="P135" s="96"/>
      <c r="Q135" s="118"/>
      <c r="R135" s="118"/>
      <c r="S135" s="118"/>
      <c r="T135" s="128">
        <f>L135+M135+N135+O135+P135+Q135+R135+S135</f>
        <v>0</v>
      </c>
    </row>
    <row r="136" spans="1:20" ht="4.5" customHeight="1" x14ac:dyDescent="0.2">
      <c r="A136" s="76"/>
      <c r="B136" s="94"/>
      <c r="C136" s="94"/>
      <c r="D136" s="81"/>
      <c r="E136" s="81"/>
      <c r="F136" s="81"/>
      <c r="G136" s="81"/>
      <c r="H136" s="81"/>
      <c r="I136" s="81"/>
      <c r="J136" s="81"/>
      <c r="K136" s="81"/>
      <c r="L136" s="153"/>
      <c r="M136" s="153"/>
      <c r="N136" s="97"/>
      <c r="O136" s="97"/>
      <c r="P136" s="97"/>
      <c r="Q136" s="120"/>
      <c r="R136" s="120"/>
      <c r="S136" s="120"/>
      <c r="T136" s="157">
        <f>T134+T135</f>
        <v>20</v>
      </c>
    </row>
    <row r="137" spans="1:20" ht="4.5" customHeight="1" x14ac:dyDescent="0.2">
      <c r="A137" s="87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110"/>
      <c r="M137" s="110"/>
      <c r="N137" s="110"/>
      <c r="O137" s="110"/>
      <c r="P137" s="110"/>
      <c r="Q137" s="140"/>
      <c r="R137" s="140"/>
      <c r="S137" s="140"/>
      <c r="T137" s="158" t="e">
        <f>#REF!+#REF!+#REF!</f>
        <v>#REF!</v>
      </c>
    </row>
    <row r="138" spans="1:20" ht="22.5" customHeight="1" x14ac:dyDescent="0.2">
      <c r="A138" s="258" t="s">
        <v>279</v>
      </c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87"/>
      <c r="T138" s="159">
        <f>T136</f>
        <v>20</v>
      </c>
    </row>
    <row r="139" spans="1:20" ht="20.25" customHeight="1" x14ac:dyDescent="0.2">
      <c r="A139" s="288" t="s">
        <v>280</v>
      </c>
      <c r="B139" s="289"/>
      <c r="C139" s="289"/>
      <c r="D139" s="289"/>
      <c r="E139" s="289"/>
      <c r="F139" s="289"/>
      <c r="G139" s="289" t="s">
        <v>184</v>
      </c>
      <c r="H139" s="289"/>
      <c r="I139" s="289"/>
      <c r="J139" s="289"/>
      <c r="K139" s="289"/>
      <c r="L139" s="289"/>
      <c r="M139" s="289"/>
      <c r="N139" s="289"/>
      <c r="O139" s="289"/>
      <c r="P139" s="50" t="s">
        <v>185</v>
      </c>
      <c r="Q139" s="50" t="s">
        <v>186</v>
      </c>
      <c r="R139" s="50" t="s">
        <v>187</v>
      </c>
      <c r="S139" s="50" t="s">
        <v>188</v>
      </c>
      <c r="T139" s="69" t="s">
        <v>165</v>
      </c>
    </row>
    <row r="140" spans="1:20" x14ac:dyDescent="0.2">
      <c r="A140" s="19" t="s">
        <v>276</v>
      </c>
      <c r="B140" s="290" t="s">
        <v>126</v>
      </c>
      <c r="C140" s="290"/>
      <c r="D140" s="290"/>
      <c r="E140" s="290"/>
      <c r="F140" s="290"/>
      <c r="G140" s="257" t="s">
        <v>281</v>
      </c>
      <c r="H140" s="257"/>
      <c r="I140" s="257"/>
      <c r="J140" s="257"/>
      <c r="K140" s="257"/>
      <c r="L140" s="257"/>
      <c r="M140" s="257"/>
      <c r="N140" s="257"/>
      <c r="O140" s="257"/>
      <c r="P140" s="16">
        <v>40</v>
      </c>
      <c r="Q140" s="116"/>
      <c r="R140" s="116"/>
      <c r="S140" s="116"/>
      <c r="T140" s="128">
        <f>P140+Q140+R140+S140</f>
        <v>40</v>
      </c>
    </row>
    <row r="141" spans="1:20" ht="25.5" customHeight="1" x14ac:dyDescent="0.2">
      <c r="A141" s="19" t="s">
        <v>282</v>
      </c>
      <c r="B141" s="291" t="s">
        <v>129</v>
      </c>
      <c r="C141" s="291"/>
      <c r="D141" s="291"/>
      <c r="E141" s="291"/>
      <c r="F141" s="291"/>
      <c r="G141" s="209" t="s">
        <v>281</v>
      </c>
      <c r="H141" s="209"/>
      <c r="I141" s="209"/>
      <c r="J141" s="209"/>
      <c r="K141" s="209"/>
      <c r="L141" s="209"/>
      <c r="M141" s="209"/>
      <c r="N141" s="209"/>
      <c r="O141" s="209"/>
      <c r="P141" s="16">
        <v>10</v>
      </c>
      <c r="Q141" s="116"/>
      <c r="R141" s="116"/>
      <c r="S141" s="116"/>
      <c r="T141" s="160">
        <f>P141+Q141+R141+S141</f>
        <v>10</v>
      </c>
    </row>
    <row r="142" spans="1:20" ht="25.5" customHeight="1" x14ac:dyDescent="0.2">
      <c r="A142" s="19" t="s">
        <v>283</v>
      </c>
      <c r="B142" s="224" t="s">
        <v>131</v>
      </c>
      <c r="C142" s="224"/>
      <c r="D142" s="224"/>
      <c r="E142" s="224"/>
      <c r="F142" s="224"/>
      <c r="G142" s="209" t="s">
        <v>281</v>
      </c>
      <c r="H142" s="209"/>
      <c r="I142" s="209"/>
      <c r="J142" s="209"/>
      <c r="K142" s="209"/>
      <c r="L142" s="209"/>
      <c r="M142" s="209"/>
      <c r="N142" s="209"/>
      <c r="O142" s="209"/>
      <c r="P142" s="16">
        <v>40</v>
      </c>
      <c r="Q142" s="116"/>
      <c r="R142" s="116"/>
      <c r="S142" s="116"/>
      <c r="T142" s="160">
        <f>P142+Q142+R142+S142</f>
        <v>40</v>
      </c>
    </row>
    <row r="143" spans="1:20" ht="25.5" customHeight="1" x14ac:dyDescent="0.2">
      <c r="A143" s="19" t="s">
        <v>284</v>
      </c>
      <c r="B143" s="224" t="s">
        <v>133</v>
      </c>
      <c r="C143" s="224"/>
      <c r="D143" s="224"/>
      <c r="E143" s="224"/>
      <c r="F143" s="224"/>
      <c r="G143" s="209" t="s">
        <v>281</v>
      </c>
      <c r="H143" s="209"/>
      <c r="I143" s="209"/>
      <c r="J143" s="209"/>
      <c r="K143" s="209"/>
      <c r="L143" s="209"/>
      <c r="M143" s="209"/>
      <c r="N143" s="209"/>
      <c r="O143" s="209"/>
      <c r="P143" s="16">
        <v>40</v>
      </c>
      <c r="Q143" s="116"/>
      <c r="R143" s="116"/>
      <c r="S143" s="116"/>
      <c r="T143" s="160">
        <f t="shared" ref="T143:T148" si="12">P143+Q143+R143+S143</f>
        <v>40</v>
      </c>
    </row>
    <row r="144" spans="1:20" ht="25.5" customHeight="1" x14ac:dyDescent="0.2">
      <c r="A144" s="19" t="s">
        <v>285</v>
      </c>
      <c r="B144" s="291" t="s">
        <v>135</v>
      </c>
      <c r="C144" s="291"/>
      <c r="D144" s="291"/>
      <c r="E144" s="291"/>
      <c r="F144" s="291"/>
      <c r="G144" s="209" t="s">
        <v>281</v>
      </c>
      <c r="H144" s="209"/>
      <c r="I144" s="209"/>
      <c r="J144" s="209"/>
      <c r="K144" s="209"/>
      <c r="L144" s="209"/>
      <c r="M144" s="209"/>
      <c r="N144" s="209"/>
      <c r="O144" s="209"/>
      <c r="P144" s="16">
        <v>10</v>
      </c>
      <c r="Q144" s="116"/>
      <c r="R144" s="116"/>
      <c r="S144" s="116"/>
      <c r="T144" s="160">
        <f t="shared" si="12"/>
        <v>10</v>
      </c>
    </row>
    <row r="145" spans="1:20" ht="15" customHeight="1" x14ac:dyDescent="0.2">
      <c r="A145" s="223" t="s">
        <v>286</v>
      </c>
      <c r="B145" s="224" t="s">
        <v>287</v>
      </c>
      <c r="C145" s="224"/>
      <c r="D145" s="224"/>
      <c r="E145" s="224"/>
      <c r="F145" s="224"/>
      <c r="G145" s="257" t="s">
        <v>288</v>
      </c>
      <c r="H145" s="257"/>
      <c r="I145" s="257"/>
      <c r="J145" s="257"/>
      <c r="K145" s="257"/>
      <c r="L145" s="257"/>
      <c r="M145" s="257"/>
      <c r="N145" s="257"/>
      <c r="O145" s="257"/>
      <c r="P145" s="16"/>
      <c r="Q145" s="116"/>
      <c r="R145" s="116"/>
      <c r="S145" s="116"/>
      <c r="T145" s="160">
        <f t="shared" si="12"/>
        <v>0</v>
      </c>
    </row>
    <row r="146" spans="1:20" ht="15" customHeight="1" x14ac:dyDescent="0.2">
      <c r="A146" s="223"/>
      <c r="B146" s="224"/>
      <c r="C146" s="224"/>
      <c r="D146" s="224"/>
      <c r="E146" s="224"/>
      <c r="F146" s="224"/>
      <c r="G146" s="257" t="s">
        <v>289</v>
      </c>
      <c r="H146" s="257"/>
      <c r="I146" s="257"/>
      <c r="J146" s="257"/>
      <c r="K146" s="257"/>
      <c r="L146" s="257"/>
      <c r="M146" s="257"/>
      <c r="N146" s="257"/>
      <c r="O146" s="257"/>
      <c r="P146" s="16"/>
      <c r="Q146" s="116"/>
      <c r="R146" s="116"/>
      <c r="S146" s="116"/>
      <c r="T146" s="160">
        <f t="shared" si="12"/>
        <v>0</v>
      </c>
    </row>
    <row r="147" spans="1:20" ht="15" customHeight="1" x14ac:dyDescent="0.2">
      <c r="A147" s="223"/>
      <c r="B147" s="224"/>
      <c r="C147" s="224"/>
      <c r="D147" s="224"/>
      <c r="E147" s="224"/>
      <c r="F147" s="224"/>
      <c r="G147" s="257" t="s">
        <v>290</v>
      </c>
      <c r="H147" s="257"/>
      <c r="I147" s="257"/>
      <c r="J147" s="257"/>
      <c r="K147" s="257"/>
      <c r="L147" s="257"/>
      <c r="M147" s="257"/>
      <c r="N147" s="257"/>
      <c r="O147" s="257"/>
      <c r="P147" s="16"/>
      <c r="Q147" s="116"/>
      <c r="R147" s="116"/>
      <c r="S147" s="116"/>
      <c r="T147" s="160">
        <f t="shared" si="12"/>
        <v>0</v>
      </c>
    </row>
    <row r="148" spans="1:20" ht="15" customHeight="1" x14ac:dyDescent="0.2">
      <c r="A148" s="223"/>
      <c r="B148" s="224"/>
      <c r="C148" s="224"/>
      <c r="D148" s="224"/>
      <c r="E148" s="224"/>
      <c r="F148" s="224"/>
      <c r="G148" s="257" t="s">
        <v>291</v>
      </c>
      <c r="H148" s="257"/>
      <c r="I148" s="257"/>
      <c r="J148" s="257"/>
      <c r="K148" s="257"/>
      <c r="L148" s="257"/>
      <c r="M148" s="257"/>
      <c r="N148" s="257"/>
      <c r="O148" s="257"/>
      <c r="P148" s="16">
        <v>50</v>
      </c>
      <c r="Q148" s="116"/>
      <c r="R148" s="116"/>
      <c r="S148" s="116"/>
      <c r="T148" s="160">
        <f t="shared" si="12"/>
        <v>50</v>
      </c>
    </row>
    <row r="149" spans="1:20" ht="10.5" customHeight="1" x14ac:dyDescent="0.2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3"/>
      <c r="M149" s="23"/>
      <c r="N149" s="23"/>
      <c r="O149" s="23"/>
      <c r="P149" s="16"/>
      <c r="Q149" s="116"/>
      <c r="R149" s="116"/>
      <c r="S149" s="116"/>
      <c r="T149" s="160"/>
    </row>
    <row r="150" spans="1:20" ht="21.75" customHeight="1" x14ac:dyDescent="0.2">
      <c r="A150" s="149" t="s">
        <v>292</v>
      </c>
      <c r="B150" s="285" t="s">
        <v>143</v>
      </c>
      <c r="C150" s="285"/>
      <c r="D150" s="285"/>
      <c r="E150" s="285"/>
      <c r="F150" s="285"/>
      <c r="G150" s="286" t="s">
        <v>281</v>
      </c>
      <c r="H150" s="286"/>
      <c r="I150" s="286"/>
      <c r="J150" s="286"/>
      <c r="K150" s="286"/>
      <c r="L150" s="286"/>
      <c r="M150" s="286"/>
      <c r="N150" s="286"/>
      <c r="O150" s="286"/>
      <c r="P150" s="96">
        <v>10</v>
      </c>
      <c r="Q150" s="118">
        <v>10</v>
      </c>
      <c r="R150" s="118"/>
      <c r="S150" s="118"/>
      <c r="T150" s="161">
        <f>P150+Q150+R150+S150</f>
        <v>20</v>
      </c>
    </row>
    <row r="151" spans="1:20" ht="21" customHeight="1" x14ac:dyDescent="0.2">
      <c r="A151" s="335" t="s">
        <v>293</v>
      </c>
      <c r="B151" s="336"/>
      <c r="C151" s="336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150"/>
      <c r="T151" s="162">
        <f>T140+T141+T142+T143+T144+T145+T146+T147+T148+T150</f>
        <v>210</v>
      </c>
    </row>
    <row r="152" spans="1:20" x14ac:dyDescent="0.2">
      <c r="A152" s="337" t="s">
        <v>294</v>
      </c>
      <c r="B152" s="338"/>
      <c r="C152" s="338"/>
      <c r="D152" s="338"/>
      <c r="E152" s="338"/>
      <c r="F152" s="338"/>
      <c r="G152" s="339" t="s">
        <v>184</v>
      </c>
      <c r="H152" s="339"/>
      <c r="I152" s="339"/>
      <c r="J152" s="339"/>
      <c r="K152" s="339"/>
      <c r="L152" s="339"/>
      <c r="M152" s="339"/>
      <c r="N152" s="339"/>
      <c r="O152" s="339"/>
      <c r="P152" s="49" t="s">
        <v>185</v>
      </c>
      <c r="Q152" s="49" t="s">
        <v>186</v>
      </c>
      <c r="R152" s="49" t="s">
        <v>187</v>
      </c>
      <c r="S152" s="49" t="s">
        <v>188</v>
      </c>
      <c r="T152" s="163" t="s">
        <v>171</v>
      </c>
    </row>
    <row r="153" spans="1:20" ht="15.75" customHeight="1" x14ac:dyDescent="0.2">
      <c r="A153" s="25" t="s">
        <v>276</v>
      </c>
      <c r="B153" s="340" t="s">
        <v>145</v>
      </c>
      <c r="C153" s="341"/>
      <c r="D153" s="341"/>
      <c r="E153" s="341"/>
      <c r="F153" s="342"/>
      <c r="G153" s="269" t="s">
        <v>295</v>
      </c>
      <c r="H153" s="269"/>
      <c r="I153" s="269"/>
      <c r="J153" s="269"/>
      <c r="K153" s="269"/>
      <c r="L153" s="269"/>
      <c r="M153" s="269"/>
      <c r="N153" s="269"/>
      <c r="O153" s="269"/>
      <c r="P153" s="102">
        <v>50</v>
      </c>
      <c r="Q153" s="126"/>
      <c r="R153" s="126"/>
      <c r="S153" s="126"/>
      <c r="T153" s="128">
        <f>P153+Q153+R153+S153</f>
        <v>50</v>
      </c>
    </row>
    <row r="154" spans="1:20" ht="19.5" customHeight="1" x14ac:dyDescent="0.2">
      <c r="A154" s="28" t="s">
        <v>282</v>
      </c>
      <c r="B154" s="343" t="s">
        <v>148</v>
      </c>
      <c r="C154" s="343"/>
      <c r="D154" s="343"/>
      <c r="E154" s="343"/>
      <c r="F154" s="343"/>
      <c r="G154" s="344" t="s">
        <v>296</v>
      </c>
      <c r="H154" s="344"/>
      <c r="I154" s="344"/>
      <c r="J154" s="344"/>
      <c r="K154" s="344"/>
      <c r="L154" s="344"/>
      <c r="M154" s="344"/>
      <c r="N154" s="344"/>
      <c r="O154" s="344"/>
      <c r="P154" s="96"/>
      <c r="Q154" s="118"/>
      <c r="R154" s="118"/>
      <c r="S154" s="118"/>
      <c r="T154" s="130">
        <f t="shared" ref="T154" si="13">P154+Q154+R154+S154</f>
        <v>0</v>
      </c>
    </row>
    <row r="155" spans="1:20" ht="15.75" customHeight="1" x14ac:dyDescent="0.2">
      <c r="A155" s="345" t="s">
        <v>297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162">
        <f>T153+T154</f>
        <v>50</v>
      </c>
    </row>
    <row r="156" spans="1:20" ht="15.75" customHeight="1" x14ac:dyDescent="0.2">
      <c r="A156" s="347" t="s">
        <v>298</v>
      </c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135">
        <f>T138+T151++T155</f>
        <v>280</v>
      </c>
    </row>
    <row r="157" spans="1:20" ht="15.75" customHeight="1" x14ac:dyDescent="0.2">
      <c r="A157" s="318" t="s">
        <v>152</v>
      </c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8">
        <f>T35+T130+T156</f>
        <v>1122</v>
      </c>
      <c r="T157" s="322"/>
    </row>
    <row r="158" spans="1:20" ht="21.75" customHeight="1" x14ac:dyDescent="0.2">
      <c r="A158" s="320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0"/>
      <c r="T158" s="323"/>
    </row>
  </sheetData>
  <mergeCells count="263">
    <mergeCell ref="B94:C95"/>
    <mergeCell ref="D94:K95"/>
    <mergeCell ref="B89:C92"/>
    <mergeCell ref="B83:C87"/>
    <mergeCell ref="B77:C81"/>
    <mergeCell ref="A75:C76"/>
    <mergeCell ref="D75:K76"/>
    <mergeCell ref="B69:I72"/>
    <mergeCell ref="B25:B26"/>
    <mergeCell ref="B27:B28"/>
    <mergeCell ref="B29:B30"/>
    <mergeCell ref="B31:B33"/>
    <mergeCell ref="J51:O51"/>
    <mergeCell ref="J52:O52"/>
    <mergeCell ref="J53:O53"/>
    <mergeCell ref="J54:O54"/>
    <mergeCell ref="A83:A87"/>
    <mergeCell ref="A89:A92"/>
    <mergeCell ref="T132:T133"/>
    <mergeCell ref="A157:R158"/>
    <mergeCell ref="S157:T158"/>
    <mergeCell ref="B145:F148"/>
    <mergeCell ref="B134:C135"/>
    <mergeCell ref="A132:C133"/>
    <mergeCell ref="D132:K133"/>
    <mergeCell ref="B123:D126"/>
    <mergeCell ref="B114:F115"/>
    <mergeCell ref="A118:C119"/>
    <mergeCell ref="D118:K119"/>
    <mergeCell ref="A151:R151"/>
    <mergeCell ref="A152:F152"/>
    <mergeCell ref="G152:O152"/>
    <mergeCell ref="B153:F153"/>
    <mergeCell ref="G153:O153"/>
    <mergeCell ref="B154:F154"/>
    <mergeCell ref="G154:O154"/>
    <mergeCell ref="A155:S155"/>
    <mergeCell ref="A156:S156"/>
    <mergeCell ref="B143:F143"/>
    <mergeCell ref="G143:O143"/>
    <mergeCell ref="B144:F144"/>
    <mergeCell ref="G144:O144"/>
    <mergeCell ref="T17:T18"/>
    <mergeCell ref="T19:T21"/>
    <mergeCell ref="T23:T24"/>
    <mergeCell ref="T25:T26"/>
    <mergeCell ref="T27:T28"/>
    <mergeCell ref="T29:T30"/>
    <mergeCell ref="T31:T33"/>
    <mergeCell ref="T75:T76"/>
    <mergeCell ref="T118:T119"/>
    <mergeCell ref="A94:A95"/>
    <mergeCell ref="A101:A103"/>
    <mergeCell ref="G101:O101"/>
    <mergeCell ref="G102:O102"/>
    <mergeCell ref="G103:O103"/>
    <mergeCell ref="D80:K80"/>
    <mergeCell ref="D81:K81"/>
    <mergeCell ref="D83:K83"/>
    <mergeCell ref="D84:K84"/>
    <mergeCell ref="D85:K85"/>
    <mergeCell ref="D86:K86"/>
    <mergeCell ref="D87:K87"/>
    <mergeCell ref="D89:K89"/>
    <mergeCell ref="D90:K90"/>
    <mergeCell ref="D91:K91"/>
    <mergeCell ref="D92:K92"/>
    <mergeCell ref="B97:C97"/>
    <mergeCell ref="D97:K97"/>
    <mergeCell ref="A98:R98"/>
    <mergeCell ref="A99:F99"/>
    <mergeCell ref="G99:O99"/>
    <mergeCell ref="B100:F100"/>
    <mergeCell ref="G100:O100"/>
    <mergeCell ref="B101:F103"/>
    <mergeCell ref="A25:A26"/>
    <mergeCell ref="A27:A28"/>
    <mergeCell ref="A29:A30"/>
    <mergeCell ref="A31:A33"/>
    <mergeCell ref="A38:A43"/>
    <mergeCell ref="A45:A49"/>
    <mergeCell ref="A51:A55"/>
    <mergeCell ref="A57:A61"/>
    <mergeCell ref="A63:A67"/>
    <mergeCell ref="G145:O145"/>
    <mergeCell ref="G146:O146"/>
    <mergeCell ref="G147:O147"/>
    <mergeCell ref="G148:O148"/>
    <mergeCell ref="B150:F150"/>
    <mergeCell ref="G150:O150"/>
    <mergeCell ref="D135:K135"/>
    <mergeCell ref="A138:S138"/>
    <mergeCell ref="A139:F139"/>
    <mergeCell ref="G139:O139"/>
    <mergeCell ref="B140:F140"/>
    <mergeCell ref="G140:O140"/>
    <mergeCell ref="B141:F141"/>
    <mergeCell ref="G141:O141"/>
    <mergeCell ref="B142:F142"/>
    <mergeCell ref="G142:O142"/>
    <mergeCell ref="A134:A135"/>
    <mergeCell ref="A145:A148"/>
    <mergeCell ref="E129:O129"/>
    <mergeCell ref="A130:S130"/>
    <mergeCell ref="A131:R131"/>
    <mergeCell ref="L132:M132"/>
    <mergeCell ref="N132:O132"/>
    <mergeCell ref="P132:Q132"/>
    <mergeCell ref="R132:S132"/>
    <mergeCell ref="D134:K134"/>
    <mergeCell ref="B120:C120"/>
    <mergeCell ref="D120:K120"/>
    <mergeCell ref="A121:R121"/>
    <mergeCell ref="E122:O122"/>
    <mergeCell ref="E123:O123"/>
    <mergeCell ref="E124:O124"/>
    <mergeCell ref="E125:O125"/>
    <mergeCell ref="E126:O126"/>
    <mergeCell ref="B128:R128"/>
    <mergeCell ref="A123:A126"/>
    <mergeCell ref="A129:D129"/>
    <mergeCell ref="G111:O111"/>
    <mergeCell ref="G112:O112"/>
    <mergeCell ref="G114:O114"/>
    <mergeCell ref="G115:O115"/>
    <mergeCell ref="A117:S117"/>
    <mergeCell ref="L118:M118"/>
    <mergeCell ref="N118:O118"/>
    <mergeCell ref="P118:Q118"/>
    <mergeCell ref="R118:S118"/>
    <mergeCell ref="B105:F112"/>
    <mergeCell ref="G105:O105"/>
    <mergeCell ref="G106:O106"/>
    <mergeCell ref="G107:O107"/>
    <mergeCell ref="G108:O108"/>
    <mergeCell ref="G109:O109"/>
    <mergeCell ref="G110:O110"/>
    <mergeCell ref="A105:A112"/>
    <mergeCell ref="A114:A115"/>
    <mergeCell ref="N75:O75"/>
    <mergeCell ref="P75:Q75"/>
    <mergeCell ref="R75:S75"/>
    <mergeCell ref="D77:K77"/>
    <mergeCell ref="D78:K78"/>
    <mergeCell ref="D79:K79"/>
    <mergeCell ref="A69:A72"/>
    <mergeCell ref="A77:A81"/>
    <mergeCell ref="J61:O61"/>
    <mergeCell ref="J63:O63"/>
    <mergeCell ref="J64:O64"/>
    <mergeCell ref="J65:O65"/>
    <mergeCell ref="J66:O66"/>
    <mergeCell ref="J67:O67"/>
    <mergeCell ref="J69:O69"/>
    <mergeCell ref="J70:O70"/>
    <mergeCell ref="J71:O71"/>
    <mergeCell ref="J72:O72"/>
    <mergeCell ref="A74:S74"/>
    <mergeCell ref="L75:M75"/>
    <mergeCell ref="B63:I67"/>
    <mergeCell ref="B57:I61"/>
    <mergeCell ref="J60:O60"/>
    <mergeCell ref="J40:O40"/>
    <mergeCell ref="J41:O41"/>
    <mergeCell ref="J42:O42"/>
    <mergeCell ref="J43:O43"/>
    <mergeCell ref="J45:O45"/>
    <mergeCell ref="J46:O46"/>
    <mergeCell ref="J47:O47"/>
    <mergeCell ref="J48:O48"/>
    <mergeCell ref="J49:O49"/>
    <mergeCell ref="A34:S34"/>
    <mergeCell ref="A35:S35"/>
    <mergeCell ref="J37:O37"/>
    <mergeCell ref="J38:O38"/>
    <mergeCell ref="J39:O39"/>
    <mergeCell ref="J55:O55"/>
    <mergeCell ref="J57:O57"/>
    <mergeCell ref="J58:O58"/>
    <mergeCell ref="J59:O59"/>
    <mergeCell ref="B51:I55"/>
    <mergeCell ref="B45:I49"/>
    <mergeCell ref="B38:I43"/>
    <mergeCell ref="D31:G31"/>
    <mergeCell ref="H31:K31"/>
    <mergeCell ref="L31:O31"/>
    <mergeCell ref="P31:S31"/>
    <mergeCell ref="D32:G32"/>
    <mergeCell ref="H32:K32"/>
    <mergeCell ref="L32:O32"/>
    <mergeCell ref="P32:S32"/>
    <mergeCell ref="D33:G33"/>
    <mergeCell ref="H33:K33"/>
    <mergeCell ref="L33:O33"/>
    <mergeCell ref="P33:S33"/>
    <mergeCell ref="D28:G28"/>
    <mergeCell ref="H28:K28"/>
    <mergeCell ref="L28:O28"/>
    <mergeCell ref="P28:S28"/>
    <mergeCell ref="D29:G29"/>
    <mergeCell ref="H29:K29"/>
    <mergeCell ref="L29:O29"/>
    <mergeCell ref="P29:S29"/>
    <mergeCell ref="D30:G30"/>
    <mergeCell ref="H30:K30"/>
    <mergeCell ref="L30:O30"/>
    <mergeCell ref="P30:S30"/>
    <mergeCell ref="D25:G25"/>
    <mergeCell ref="H25:K25"/>
    <mergeCell ref="L25:O25"/>
    <mergeCell ref="P25:S25"/>
    <mergeCell ref="D26:G26"/>
    <mergeCell ref="H26:K26"/>
    <mergeCell ref="L26:O26"/>
    <mergeCell ref="P26:S26"/>
    <mergeCell ref="D27:G27"/>
    <mergeCell ref="H27:K27"/>
    <mergeCell ref="L27:O27"/>
    <mergeCell ref="P27:S27"/>
    <mergeCell ref="D17:G17"/>
    <mergeCell ref="H17:K17"/>
    <mergeCell ref="L17:O17"/>
    <mergeCell ref="P17:S17"/>
    <mergeCell ref="A22:R22"/>
    <mergeCell ref="D23:G23"/>
    <mergeCell ref="H23:K23"/>
    <mergeCell ref="L23:O23"/>
    <mergeCell ref="P23:S23"/>
    <mergeCell ref="A19:A21"/>
    <mergeCell ref="B19:B21"/>
    <mergeCell ref="K19:K21"/>
    <mergeCell ref="O19:O21"/>
    <mergeCell ref="S19:S21"/>
    <mergeCell ref="C17:C18"/>
    <mergeCell ref="C23:C24"/>
    <mergeCell ref="G19:G21"/>
    <mergeCell ref="D24:G24"/>
    <mergeCell ref="H24:K24"/>
    <mergeCell ref="L24:O24"/>
    <mergeCell ref="P24:S24"/>
    <mergeCell ref="A23:B24"/>
    <mergeCell ref="A17:B18"/>
    <mergeCell ref="B1:T1"/>
    <mergeCell ref="A3:T3"/>
    <mergeCell ref="A4:T4"/>
    <mergeCell ref="B5:T5"/>
    <mergeCell ref="A9:T9"/>
    <mergeCell ref="D10:H10"/>
    <mergeCell ref="I10:M10"/>
    <mergeCell ref="O10:S10"/>
    <mergeCell ref="A16:R16"/>
    <mergeCell ref="A10:A11"/>
    <mergeCell ref="A12:A13"/>
    <mergeCell ref="A14:A15"/>
    <mergeCell ref="B10:B11"/>
    <mergeCell ref="B12:B13"/>
    <mergeCell ref="B14:B15"/>
    <mergeCell ref="N10:N11"/>
    <mergeCell ref="T10:T11"/>
    <mergeCell ref="T12:T13"/>
    <mergeCell ref="T14:T15"/>
    <mergeCell ref="C10:C11"/>
    <mergeCell ref="C12:C15"/>
  </mergeCells>
  <pageMargins left="0.7" right="0.7" top="0.75" bottom="0.7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58"/>
  <sheetViews>
    <sheetView topLeftCell="A142" workbookViewId="0">
      <selection activeCell="T176" sqref="T176"/>
    </sheetView>
  </sheetViews>
  <sheetFormatPr defaultColWidth="9.140625" defaultRowHeight="11.25" x14ac:dyDescent="0.2"/>
  <cols>
    <col min="1" max="1" width="5" style="1" customWidth="1"/>
    <col min="2" max="2" width="25.7109375" style="2" customWidth="1"/>
    <col min="3" max="3" width="11.140625" style="2" customWidth="1"/>
    <col min="4" max="11" width="3.42578125" style="2" customWidth="1"/>
    <col min="12" max="19" width="4.42578125" style="2" customWidth="1"/>
    <col min="20" max="20" width="26.140625" style="2" customWidth="1"/>
    <col min="21" max="21" width="9.140625" style="2"/>
    <col min="22" max="22" width="32.28515625" style="2" customWidth="1"/>
    <col min="23" max="16384" width="9.140625" style="2"/>
  </cols>
  <sheetData>
    <row r="1" spans="1:20" ht="18" customHeight="1" x14ac:dyDescent="0.2">
      <c r="B1" s="192" t="s">
        <v>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20" ht="9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O2" s="3"/>
      <c r="P2" s="42" t="s">
        <v>153</v>
      </c>
      <c r="Q2" s="42"/>
      <c r="R2" s="42"/>
      <c r="S2" s="42"/>
      <c r="T2" s="42"/>
    </row>
    <row r="3" spans="1:20" ht="15" customHeight="1" x14ac:dyDescent="0.2">
      <c r="A3" s="193" t="s">
        <v>154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20" ht="50.25" customHeight="1" x14ac:dyDescent="0.2">
      <c r="A4" s="194" t="s">
        <v>155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</row>
    <row r="5" spans="1:20" ht="16.5" customHeight="1" x14ac:dyDescent="0.2">
      <c r="A5" s="4" t="s">
        <v>3</v>
      </c>
      <c r="B5" s="197" t="s">
        <v>156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9"/>
    </row>
    <row r="6" spans="1:20" ht="17.25" customHeight="1" x14ac:dyDescent="0.2">
      <c r="A6" s="5" t="s">
        <v>157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8"/>
    </row>
    <row r="7" spans="1:20" ht="33" customHeight="1" x14ac:dyDescent="0.2">
      <c r="A7" s="7" t="s">
        <v>158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59"/>
    </row>
    <row r="8" spans="1:20" ht="14.25" customHeight="1" x14ac:dyDescent="0.2">
      <c r="A8" s="9" t="s">
        <v>159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60">
        <v>0.2</v>
      </c>
    </row>
    <row r="9" spans="1:20" ht="25.5" customHeight="1" x14ac:dyDescent="0.2">
      <c r="A9" s="200" t="s">
        <v>160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2"/>
    </row>
    <row r="10" spans="1:20" ht="19.5" customHeight="1" x14ac:dyDescent="0.2">
      <c r="A10" s="207"/>
      <c r="B10" s="210"/>
      <c r="C10" s="217" t="s">
        <v>14</v>
      </c>
      <c r="D10" s="203" t="s">
        <v>161</v>
      </c>
      <c r="E10" s="203"/>
      <c r="F10" s="203"/>
      <c r="G10" s="203"/>
      <c r="H10" s="203"/>
      <c r="I10" s="203" t="s">
        <v>162</v>
      </c>
      <c r="J10" s="203"/>
      <c r="K10" s="203"/>
      <c r="L10" s="203"/>
      <c r="M10" s="203"/>
      <c r="N10" s="204" t="s">
        <v>163</v>
      </c>
      <c r="O10" s="204" t="s">
        <v>164</v>
      </c>
      <c r="P10" s="204"/>
      <c r="Q10" s="204"/>
      <c r="R10" s="204"/>
      <c r="S10" s="204"/>
      <c r="T10" s="213" t="s">
        <v>165</v>
      </c>
    </row>
    <row r="11" spans="1:20" ht="22.5" customHeight="1" x14ac:dyDescent="0.2">
      <c r="A11" s="208"/>
      <c r="B11" s="211"/>
      <c r="C11" s="218"/>
      <c r="D11" s="12" t="s">
        <v>8</v>
      </c>
      <c r="E11" s="12" t="s">
        <v>9</v>
      </c>
      <c r="F11" s="12" t="s">
        <v>10</v>
      </c>
      <c r="G11" s="12" t="s">
        <v>11</v>
      </c>
      <c r="H11" s="12" t="s">
        <v>166</v>
      </c>
      <c r="I11" s="12" t="s">
        <v>8</v>
      </c>
      <c r="J11" s="12" t="s">
        <v>9</v>
      </c>
      <c r="K11" s="12" t="s">
        <v>10</v>
      </c>
      <c r="L11" s="12" t="s">
        <v>11</v>
      </c>
      <c r="M11" s="12" t="s">
        <v>166</v>
      </c>
      <c r="N11" s="212"/>
      <c r="O11" s="12" t="s">
        <v>8</v>
      </c>
      <c r="P11" s="12" t="s">
        <v>9</v>
      </c>
      <c r="Q11" s="12" t="s">
        <v>10</v>
      </c>
      <c r="R11" s="12" t="s">
        <v>11</v>
      </c>
      <c r="S11" s="12" t="s">
        <v>166</v>
      </c>
      <c r="T11" s="214"/>
    </row>
    <row r="12" spans="1:20" ht="12.75" customHeight="1" x14ac:dyDescent="0.2">
      <c r="A12" s="209" t="s">
        <v>50</v>
      </c>
      <c r="B12" s="209" t="s">
        <v>167</v>
      </c>
      <c r="C12" s="219" t="s">
        <v>168</v>
      </c>
      <c r="D12" s="14">
        <v>80</v>
      </c>
      <c r="E12" s="15"/>
      <c r="F12" s="15"/>
      <c r="G12" s="15"/>
      <c r="H12" s="15">
        <f>(D12+E12+F12+G12)/4</f>
        <v>20</v>
      </c>
      <c r="I12" s="17"/>
      <c r="J12" s="17"/>
      <c r="K12" s="17"/>
      <c r="L12" s="17"/>
      <c r="M12" s="15">
        <f>(I12+J12+K12+L12)/4</f>
        <v>0</v>
      </c>
      <c r="N12" s="43">
        <v>1</v>
      </c>
      <c r="O12" s="43"/>
      <c r="P12" s="43"/>
      <c r="Q12" s="43"/>
      <c r="R12" s="43"/>
      <c r="S12" s="43">
        <f>SUM(O12:R12)/4</f>
        <v>0</v>
      </c>
      <c r="T12" s="215">
        <f>(H12+N12-0.2*S12)+(M12-0.2*S12)</f>
        <v>21</v>
      </c>
    </row>
    <row r="13" spans="1:20" ht="21.75" customHeight="1" x14ac:dyDescent="0.2">
      <c r="A13" s="209"/>
      <c r="B13" s="209"/>
      <c r="C13" s="219"/>
      <c r="D13" s="16"/>
      <c r="E13" s="15"/>
      <c r="F13" s="15"/>
      <c r="G13" s="15"/>
      <c r="H13" s="15"/>
      <c r="I13" s="16"/>
      <c r="J13" s="16"/>
      <c r="K13" s="16"/>
      <c r="L13" s="16"/>
      <c r="M13" s="16"/>
      <c r="N13" s="44"/>
      <c r="O13" s="45"/>
      <c r="P13" s="46"/>
      <c r="Q13" s="46"/>
      <c r="R13" s="46"/>
      <c r="S13" s="46"/>
      <c r="T13" s="216"/>
    </row>
    <row r="14" spans="1:20" ht="13.5" customHeight="1" x14ac:dyDescent="0.2">
      <c r="A14" s="209" t="s">
        <v>54</v>
      </c>
      <c r="B14" s="209" t="s">
        <v>169</v>
      </c>
      <c r="C14" s="219"/>
      <c r="D14" s="16">
        <v>80</v>
      </c>
      <c r="E14" s="16"/>
      <c r="F14" s="16"/>
      <c r="G14" s="16"/>
      <c r="H14" s="15">
        <f>(D14+E14+F14+G14)/4</f>
        <v>20</v>
      </c>
      <c r="I14" s="16"/>
      <c r="J14" s="16"/>
      <c r="K14" s="16"/>
      <c r="L14" s="16"/>
      <c r="M14" s="15">
        <f>(I14+J14+K14+L14)/4</f>
        <v>0</v>
      </c>
      <c r="N14" s="43">
        <v>1</v>
      </c>
      <c r="O14" s="43"/>
      <c r="P14" s="43"/>
      <c r="Q14" s="43"/>
      <c r="R14" s="43"/>
      <c r="S14" s="43">
        <f>SUM(O14:R14)/4</f>
        <v>0</v>
      </c>
      <c r="T14" s="215">
        <f>(H14+N14-0.2*S14)+(M14-0.2*S14)</f>
        <v>21</v>
      </c>
    </row>
    <row r="15" spans="1:20" ht="33" customHeight="1" x14ac:dyDescent="0.2">
      <c r="A15" s="209"/>
      <c r="B15" s="209"/>
      <c r="C15" s="21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47"/>
      <c r="O15" s="48"/>
      <c r="P15" s="46"/>
      <c r="Q15" s="46"/>
      <c r="R15" s="46"/>
      <c r="S15" s="46"/>
      <c r="T15" s="216"/>
    </row>
    <row r="16" spans="1:20" ht="21" customHeight="1" x14ac:dyDescent="0.2">
      <c r="A16" s="205" t="s">
        <v>29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61"/>
      <c r="T16" s="62">
        <f>T12+T14</f>
        <v>42</v>
      </c>
    </row>
    <row r="17" spans="1:20" ht="32.25" customHeight="1" x14ac:dyDescent="0.2">
      <c r="A17" s="356" t="s">
        <v>170</v>
      </c>
      <c r="B17" s="226"/>
      <c r="C17" s="226" t="s">
        <v>14</v>
      </c>
      <c r="D17" s="220" t="s">
        <v>31</v>
      </c>
      <c r="E17" s="220"/>
      <c r="F17" s="220"/>
      <c r="G17" s="220"/>
      <c r="H17" s="220" t="s">
        <v>32</v>
      </c>
      <c r="I17" s="220"/>
      <c r="J17" s="220"/>
      <c r="K17" s="220"/>
      <c r="L17" s="220" t="s">
        <v>33</v>
      </c>
      <c r="M17" s="220"/>
      <c r="N17" s="220"/>
      <c r="O17" s="220"/>
      <c r="P17" s="220" t="s">
        <v>34</v>
      </c>
      <c r="Q17" s="220"/>
      <c r="R17" s="220"/>
      <c r="S17" s="220"/>
      <c r="T17" s="309" t="s">
        <v>171</v>
      </c>
    </row>
    <row r="18" spans="1:20" ht="30" customHeight="1" x14ac:dyDescent="0.2">
      <c r="A18" s="357"/>
      <c r="B18" s="225"/>
      <c r="C18" s="225"/>
      <c r="D18" s="18" t="s">
        <v>35</v>
      </c>
      <c r="E18" s="18" t="s">
        <v>172</v>
      </c>
      <c r="F18" s="18" t="s">
        <v>37</v>
      </c>
      <c r="G18" s="18" t="s">
        <v>39</v>
      </c>
      <c r="H18" s="18" t="s">
        <v>172</v>
      </c>
      <c r="I18" s="18" t="s">
        <v>37</v>
      </c>
      <c r="J18" s="18" t="s">
        <v>35</v>
      </c>
      <c r="K18" s="18" t="s">
        <v>39</v>
      </c>
      <c r="L18" s="18" t="s">
        <v>172</v>
      </c>
      <c r="M18" s="18" t="s">
        <v>37</v>
      </c>
      <c r="N18" s="18" t="s">
        <v>35</v>
      </c>
      <c r="O18" s="18" t="s">
        <v>39</v>
      </c>
      <c r="P18" s="18" t="s">
        <v>172</v>
      </c>
      <c r="Q18" s="18" t="s">
        <v>37</v>
      </c>
      <c r="R18" s="18" t="s">
        <v>35</v>
      </c>
      <c r="S18" s="18" t="s">
        <v>39</v>
      </c>
      <c r="T18" s="310"/>
    </row>
    <row r="19" spans="1:20" ht="11.25" customHeight="1" x14ac:dyDescent="0.2">
      <c r="A19" s="223" t="s">
        <v>50</v>
      </c>
      <c r="B19" s="224" t="s">
        <v>173</v>
      </c>
      <c r="C19" s="13" t="s">
        <v>174</v>
      </c>
      <c r="D19" s="15"/>
      <c r="E19" s="15"/>
      <c r="F19" s="15"/>
      <c r="G19" s="225">
        <f>D19+E19+F19+D20+E20+F20+D21+E21+F21</f>
        <v>160</v>
      </c>
      <c r="H19" s="15"/>
      <c r="I19" s="15"/>
      <c r="J19" s="15"/>
      <c r="K19" s="225">
        <f>H19+I19+J19+H20+I20+J20+H21+I21+J21</f>
        <v>0</v>
      </c>
      <c r="L19" s="15"/>
      <c r="M19" s="15"/>
      <c r="N19" s="15"/>
      <c r="O19" s="225">
        <f>L19+M19+N19+L20+M20+N20+L21+M21+N21</f>
        <v>0</v>
      </c>
      <c r="P19" s="15"/>
      <c r="Q19" s="15"/>
      <c r="R19" s="15"/>
      <c r="S19" s="225">
        <f t="shared" ref="S19" si="0">P19+Q19+R19+P20++Q20+R20+P21+Q21+R21</f>
        <v>0</v>
      </c>
      <c r="T19" s="310">
        <f>(G19+K19+O19+S19)/4</f>
        <v>40</v>
      </c>
    </row>
    <row r="20" spans="1:20" ht="11.25" customHeight="1" x14ac:dyDescent="0.2">
      <c r="A20" s="223"/>
      <c r="B20" s="224"/>
      <c r="C20" s="13" t="s">
        <v>175</v>
      </c>
      <c r="D20" s="15">
        <v>160</v>
      </c>
      <c r="E20" s="15"/>
      <c r="F20" s="15"/>
      <c r="G20" s="225"/>
      <c r="H20" s="15"/>
      <c r="I20" s="15"/>
      <c r="J20" s="15"/>
      <c r="K20" s="225"/>
      <c r="L20" s="15"/>
      <c r="M20" s="15"/>
      <c r="N20" s="15"/>
      <c r="O20" s="225"/>
      <c r="P20" s="15"/>
      <c r="Q20" s="15"/>
      <c r="R20" s="15"/>
      <c r="S20" s="225"/>
      <c r="T20" s="310"/>
    </row>
    <row r="21" spans="1:20" ht="28.5" customHeight="1" x14ac:dyDescent="0.2">
      <c r="A21" s="223"/>
      <c r="B21" s="224"/>
      <c r="C21" s="13" t="s">
        <v>176</v>
      </c>
      <c r="D21" s="15"/>
      <c r="E21" s="15"/>
      <c r="F21" s="15"/>
      <c r="G21" s="225"/>
      <c r="H21" s="15"/>
      <c r="I21" s="15"/>
      <c r="J21" s="15"/>
      <c r="K21" s="225"/>
      <c r="L21" s="15"/>
      <c r="M21" s="15"/>
      <c r="N21" s="15"/>
      <c r="O21" s="225"/>
      <c r="P21" s="15"/>
      <c r="Q21" s="15"/>
      <c r="R21" s="15"/>
      <c r="S21" s="225"/>
      <c r="T21" s="310"/>
    </row>
    <row r="22" spans="1:20" ht="20.25" customHeight="1" x14ac:dyDescent="0.2">
      <c r="A22" s="221" t="s">
        <v>48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1"/>
      <c r="T22" s="63">
        <f>T19</f>
        <v>40</v>
      </c>
    </row>
    <row r="23" spans="1:20" ht="21.75" customHeight="1" x14ac:dyDescent="0.2">
      <c r="A23" s="352" t="s">
        <v>177</v>
      </c>
      <c r="B23" s="353"/>
      <c r="C23" s="226" t="s">
        <v>14</v>
      </c>
      <c r="D23" s="220" t="s">
        <v>31</v>
      </c>
      <c r="E23" s="220"/>
      <c r="F23" s="220"/>
      <c r="G23" s="220"/>
      <c r="H23" s="220" t="s">
        <v>32</v>
      </c>
      <c r="I23" s="220"/>
      <c r="J23" s="220"/>
      <c r="K23" s="220"/>
      <c r="L23" s="220" t="s">
        <v>33</v>
      </c>
      <c r="M23" s="220"/>
      <c r="N23" s="220"/>
      <c r="O23" s="220"/>
      <c r="P23" s="220" t="s">
        <v>34</v>
      </c>
      <c r="Q23" s="220"/>
      <c r="R23" s="220"/>
      <c r="S23" s="220"/>
      <c r="T23" s="311" t="s">
        <v>171</v>
      </c>
    </row>
    <row r="24" spans="1:20" ht="21.75" customHeight="1" x14ac:dyDescent="0.2">
      <c r="A24" s="354"/>
      <c r="B24" s="355"/>
      <c r="C24" s="225"/>
      <c r="D24" s="227" t="s">
        <v>37</v>
      </c>
      <c r="E24" s="228"/>
      <c r="F24" s="228"/>
      <c r="G24" s="229"/>
      <c r="H24" s="227" t="s">
        <v>37</v>
      </c>
      <c r="I24" s="228"/>
      <c r="J24" s="228"/>
      <c r="K24" s="229"/>
      <c r="L24" s="227" t="s">
        <v>37</v>
      </c>
      <c r="M24" s="228"/>
      <c r="N24" s="228"/>
      <c r="O24" s="229"/>
      <c r="P24" s="227" t="s">
        <v>37</v>
      </c>
      <c r="Q24" s="228"/>
      <c r="R24" s="228"/>
      <c r="S24" s="229"/>
      <c r="T24" s="312"/>
    </row>
    <row r="25" spans="1:20" ht="10.5" customHeight="1" x14ac:dyDescent="0.2">
      <c r="A25" s="223" t="s">
        <v>50</v>
      </c>
      <c r="B25" s="373" t="s">
        <v>51</v>
      </c>
      <c r="C25" s="22" t="s">
        <v>52</v>
      </c>
      <c r="D25" s="225">
        <v>40</v>
      </c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310">
        <f>(D25+H25+L25+P25+D26+H26+L26+P26)/4</f>
        <v>10</v>
      </c>
    </row>
    <row r="26" spans="1:20" ht="10.5" customHeight="1" x14ac:dyDescent="0.2">
      <c r="A26" s="223"/>
      <c r="B26" s="374"/>
      <c r="C26" s="23" t="s">
        <v>178</v>
      </c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310"/>
    </row>
    <row r="27" spans="1:20" ht="10.5" customHeight="1" x14ac:dyDescent="0.2">
      <c r="A27" s="223" t="s">
        <v>54</v>
      </c>
      <c r="B27" s="331" t="s">
        <v>55</v>
      </c>
      <c r="C27" s="23" t="s">
        <v>56</v>
      </c>
      <c r="D27" s="225">
        <v>40</v>
      </c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310">
        <f>(D27+H27+L27+P27+D28+H28+L28+P28)/4</f>
        <v>10</v>
      </c>
    </row>
    <row r="28" spans="1:20" ht="10.5" customHeight="1" x14ac:dyDescent="0.2">
      <c r="A28" s="223"/>
      <c r="B28" s="331"/>
      <c r="C28" s="23" t="s">
        <v>178</v>
      </c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310"/>
    </row>
    <row r="29" spans="1:20" ht="10.5" customHeight="1" x14ac:dyDescent="0.2">
      <c r="A29" s="223" t="s">
        <v>57</v>
      </c>
      <c r="B29" s="331" t="s">
        <v>58</v>
      </c>
      <c r="C29" s="13" t="s">
        <v>59</v>
      </c>
      <c r="D29" s="225">
        <v>40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310">
        <f>(D29+H29+L29+P29+D30+H30+L30+P30)/4</f>
        <v>10</v>
      </c>
    </row>
    <row r="30" spans="1:20" ht="10.5" customHeight="1" x14ac:dyDescent="0.2">
      <c r="A30" s="292"/>
      <c r="B30" s="375"/>
      <c r="C30" s="24" t="s">
        <v>179</v>
      </c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310"/>
    </row>
    <row r="31" spans="1:20" ht="10.5" customHeight="1" x14ac:dyDescent="0.2">
      <c r="A31" s="243" t="s">
        <v>61</v>
      </c>
      <c r="B31" s="325" t="s">
        <v>62</v>
      </c>
      <c r="C31" s="26" t="s">
        <v>63</v>
      </c>
      <c r="D31" s="225">
        <v>40</v>
      </c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313">
        <f>(D31+H31+L31+P31+D32+H32+L32+P32+D33+H33+L33+P33)/4</f>
        <v>10</v>
      </c>
    </row>
    <row r="32" spans="1:20" ht="10.5" customHeight="1" x14ac:dyDescent="0.2">
      <c r="A32" s="223"/>
      <c r="B32" s="331"/>
      <c r="C32" s="27" t="s">
        <v>180</v>
      </c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313"/>
    </row>
    <row r="33" spans="1:20" ht="10.5" customHeight="1" x14ac:dyDescent="0.2">
      <c r="A33" s="244"/>
      <c r="B33" s="326"/>
      <c r="C33" s="29" t="s">
        <v>181</v>
      </c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313"/>
    </row>
    <row r="34" spans="1:20" ht="18.75" customHeight="1" x14ac:dyDescent="0.2">
      <c r="A34" s="230" t="s">
        <v>66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2"/>
      <c r="T34" s="64">
        <f>T25+T27+T29+T31</f>
        <v>40</v>
      </c>
    </row>
    <row r="35" spans="1:20" ht="25.5" customHeight="1" x14ac:dyDescent="0.2">
      <c r="A35" s="233" t="s">
        <v>67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65">
        <f>T16+T22+T34</f>
        <v>122</v>
      </c>
    </row>
    <row r="36" spans="1:20" ht="18.75" customHeight="1" x14ac:dyDescent="0.2">
      <c r="A36" s="30" t="s">
        <v>182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6"/>
    </row>
    <row r="37" spans="1:20" ht="15" customHeight="1" x14ac:dyDescent="0.2">
      <c r="A37" s="32" t="s">
        <v>183</v>
      </c>
      <c r="B37" s="33"/>
      <c r="C37" s="33"/>
      <c r="D37" s="33"/>
      <c r="E37" s="33"/>
      <c r="F37" s="33"/>
      <c r="G37" s="33"/>
      <c r="H37" s="33"/>
      <c r="I37" s="33"/>
      <c r="J37" s="235" t="s">
        <v>184</v>
      </c>
      <c r="K37" s="235"/>
      <c r="L37" s="235"/>
      <c r="M37" s="235"/>
      <c r="N37" s="235"/>
      <c r="O37" s="236"/>
      <c r="P37" s="49" t="s">
        <v>185</v>
      </c>
      <c r="Q37" s="49" t="s">
        <v>186</v>
      </c>
      <c r="R37" s="67" t="s">
        <v>187</v>
      </c>
      <c r="S37" s="49" t="s">
        <v>188</v>
      </c>
      <c r="T37" s="68" t="s">
        <v>165</v>
      </c>
    </row>
    <row r="38" spans="1:20" ht="10.5" customHeight="1" x14ac:dyDescent="0.2">
      <c r="A38" s="293" t="s">
        <v>71</v>
      </c>
      <c r="B38" s="349" t="s">
        <v>189</v>
      </c>
      <c r="C38" s="240"/>
      <c r="D38" s="240"/>
      <c r="E38" s="240"/>
      <c r="F38" s="240"/>
      <c r="G38" s="240"/>
      <c r="H38" s="240"/>
      <c r="I38" s="240"/>
      <c r="J38" s="237" t="s">
        <v>190</v>
      </c>
      <c r="K38" s="237"/>
      <c r="L38" s="237"/>
      <c r="M38" s="237"/>
      <c r="N38" s="237"/>
      <c r="O38" s="237"/>
      <c r="P38" s="50">
        <v>50</v>
      </c>
      <c r="Q38" s="50">
        <v>10</v>
      </c>
      <c r="R38" s="50">
        <v>110</v>
      </c>
      <c r="S38" s="50">
        <v>10</v>
      </c>
      <c r="T38" s="69">
        <f>P38+Q38+R38+S38/4</f>
        <v>172.5</v>
      </c>
    </row>
    <row r="39" spans="1:20" ht="10.5" customHeight="1" x14ac:dyDescent="0.2">
      <c r="A39" s="294"/>
      <c r="B39" s="350"/>
      <c r="C39" s="350"/>
      <c r="D39" s="350"/>
      <c r="E39" s="350"/>
      <c r="F39" s="350"/>
      <c r="G39" s="350"/>
      <c r="H39" s="350"/>
      <c r="I39" s="350"/>
      <c r="J39" s="238" t="s">
        <v>191</v>
      </c>
      <c r="K39" s="238"/>
      <c r="L39" s="238"/>
      <c r="M39" s="238"/>
      <c r="N39" s="238"/>
      <c r="O39" s="238"/>
      <c r="P39" s="51">
        <v>200</v>
      </c>
      <c r="Q39" s="51"/>
      <c r="R39" s="51"/>
      <c r="S39" s="51"/>
      <c r="T39" s="69">
        <f t="shared" ref="T39:T43" si="1">P39+Q39+R39+S39/4</f>
        <v>200</v>
      </c>
    </row>
    <row r="40" spans="1:20" ht="10.5" customHeight="1" x14ac:dyDescent="0.2">
      <c r="A40" s="294"/>
      <c r="B40" s="350"/>
      <c r="C40" s="350"/>
      <c r="D40" s="350"/>
      <c r="E40" s="350"/>
      <c r="F40" s="350"/>
      <c r="G40" s="350"/>
      <c r="H40" s="350"/>
      <c r="I40" s="350"/>
      <c r="J40" s="238" t="s">
        <v>192</v>
      </c>
      <c r="K40" s="238"/>
      <c r="L40" s="238"/>
      <c r="M40" s="238"/>
      <c r="N40" s="238"/>
      <c r="O40" s="238"/>
      <c r="P40" s="51"/>
      <c r="Q40" s="51"/>
      <c r="R40" s="51"/>
      <c r="S40" s="51"/>
      <c r="T40" s="69">
        <f t="shared" si="1"/>
        <v>0</v>
      </c>
    </row>
    <row r="41" spans="1:20" ht="10.5" customHeight="1" x14ac:dyDescent="0.2">
      <c r="A41" s="294"/>
      <c r="B41" s="350"/>
      <c r="C41" s="350"/>
      <c r="D41" s="350"/>
      <c r="E41" s="350"/>
      <c r="F41" s="350"/>
      <c r="G41" s="350"/>
      <c r="H41" s="350"/>
      <c r="I41" s="350"/>
      <c r="J41" s="238" t="s">
        <v>193</v>
      </c>
      <c r="K41" s="238"/>
      <c r="L41" s="238"/>
      <c r="M41" s="238"/>
      <c r="N41" s="238"/>
      <c r="O41" s="238"/>
      <c r="P41" s="51"/>
      <c r="Q41" s="51"/>
      <c r="R41" s="51"/>
      <c r="S41" s="51"/>
      <c r="T41" s="69">
        <f t="shared" si="1"/>
        <v>0</v>
      </c>
    </row>
    <row r="42" spans="1:20" ht="10.5" customHeight="1" x14ac:dyDescent="0.2">
      <c r="A42" s="294"/>
      <c r="B42" s="350"/>
      <c r="C42" s="350"/>
      <c r="D42" s="350"/>
      <c r="E42" s="350"/>
      <c r="F42" s="350"/>
      <c r="G42" s="350"/>
      <c r="H42" s="350"/>
      <c r="I42" s="350"/>
      <c r="J42" s="238" t="s">
        <v>194</v>
      </c>
      <c r="K42" s="238"/>
      <c r="L42" s="238"/>
      <c r="M42" s="238"/>
      <c r="N42" s="238"/>
      <c r="O42" s="238"/>
      <c r="P42" s="51"/>
      <c r="Q42" s="51"/>
      <c r="R42" s="51"/>
      <c r="S42" s="51"/>
      <c r="T42" s="69">
        <f t="shared" si="1"/>
        <v>0</v>
      </c>
    </row>
    <row r="43" spans="1:20" ht="17.25" customHeight="1" x14ac:dyDescent="0.2">
      <c r="A43" s="295"/>
      <c r="B43" s="351"/>
      <c r="C43" s="351"/>
      <c r="D43" s="351"/>
      <c r="E43" s="351"/>
      <c r="F43" s="351"/>
      <c r="G43" s="351"/>
      <c r="H43" s="351"/>
      <c r="I43" s="351"/>
      <c r="J43" s="239" t="s">
        <v>195</v>
      </c>
      <c r="K43" s="239"/>
      <c r="L43" s="239"/>
      <c r="M43" s="239"/>
      <c r="N43" s="239"/>
      <c r="O43" s="239"/>
      <c r="P43" s="52"/>
      <c r="Q43" s="52"/>
      <c r="R43" s="52"/>
      <c r="S43" s="52"/>
      <c r="T43" s="69">
        <f t="shared" si="1"/>
        <v>0</v>
      </c>
    </row>
    <row r="44" spans="1:20" ht="16.5" customHeight="1" x14ac:dyDescent="0.2">
      <c r="A44" s="34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53"/>
      <c r="M44" s="53"/>
      <c r="N44" s="53"/>
      <c r="O44" s="54"/>
      <c r="P44" s="55"/>
      <c r="Q44" s="55"/>
      <c r="R44" s="55"/>
      <c r="S44" s="55"/>
      <c r="T44" s="70">
        <f>T38+T39+T40+T41+T42+T43</f>
        <v>372.5</v>
      </c>
    </row>
    <row r="45" spans="1:20" ht="11.25" customHeight="1" x14ac:dyDescent="0.2">
      <c r="A45" s="243" t="s">
        <v>79</v>
      </c>
      <c r="B45" s="226" t="s">
        <v>80</v>
      </c>
      <c r="C45" s="220"/>
      <c r="D45" s="220"/>
      <c r="E45" s="220"/>
      <c r="F45" s="220"/>
      <c r="G45" s="220"/>
      <c r="H45" s="220"/>
      <c r="I45" s="220"/>
      <c r="J45" s="237" t="s">
        <v>94</v>
      </c>
      <c r="K45" s="237"/>
      <c r="L45" s="237"/>
      <c r="M45" s="237"/>
      <c r="N45" s="237"/>
      <c r="O45" s="237"/>
      <c r="P45" s="50">
        <v>10</v>
      </c>
      <c r="Q45" s="50"/>
      <c r="R45" s="50"/>
      <c r="S45" s="50"/>
      <c r="T45" s="69">
        <f>P45+Q45+R45+S45</f>
        <v>10</v>
      </c>
    </row>
    <row r="46" spans="1:20" ht="11.25" customHeight="1" x14ac:dyDescent="0.2">
      <c r="A46" s="223"/>
      <c r="B46" s="216"/>
      <c r="C46" s="216"/>
      <c r="D46" s="216"/>
      <c r="E46" s="216"/>
      <c r="F46" s="216"/>
      <c r="G46" s="216"/>
      <c r="H46" s="216"/>
      <c r="I46" s="216"/>
      <c r="J46" s="238" t="s">
        <v>196</v>
      </c>
      <c r="K46" s="238"/>
      <c r="L46" s="238"/>
      <c r="M46" s="238"/>
      <c r="N46" s="238"/>
      <c r="O46" s="238"/>
      <c r="P46" s="51">
        <v>50</v>
      </c>
      <c r="Q46" s="51"/>
      <c r="R46" s="51"/>
      <c r="S46" s="51"/>
      <c r="T46" s="69">
        <f t="shared" ref="T46:T49" si="2">P46+Q46+R46+S46</f>
        <v>50</v>
      </c>
    </row>
    <row r="47" spans="1:20" ht="11.25" customHeight="1" x14ac:dyDescent="0.2">
      <c r="A47" s="223"/>
      <c r="B47" s="216"/>
      <c r="C47" s="216"/>
      <c r="D47" s="216"/>
      <c r="E47" s="216"/>
      <c r="F47" s="216"/>
      <c r="G47" s="216"/>
      <c r="H47" s="216"/>
      <c r="I47" s="216"/>
      <c r="J47" s="238" t="s">
        <v>197</v>
      </c>
      <c r="K47" s="238"/>
      <c r="L47" s="238"/>
      <c r="M47" s="238"/>
      <c r="N47" s="238"/>
      <c r="O47" s="238"/>
      <c r="P47" s="51"/>
      <c r="Q47" s="51"/>
      <c r="R47" s="51"/>
      <c r="S47" s="51"/>
      <c r="T47" s="69">
        <f t="shared" si="2"/>
        <v>0</v>
      </c>
    </row>
    <row r="48" spans="1:20" ht="11.25" customHeight="1" x14ac:dyDescent="0.2">
      <c r="A48" s="223"/>
      <c r="B48" s="216"/>
      <c r="C48" s="216"/>
      <c r="D48" s="216"/>
      <c r="E48" s="216"/>
      <c r="F48" s="216"/>
      <c r="G48" s="216"/>
      <c r="H48" s="216"/>
      <c r="I48" s="216"/>
      <c r="J48" s="238" t="s">
        <v>198</v>
      </c>
      <c r="K48" s="238"/>
      <c r="L48" s="238"/>
      <c r="M48" s="238"/>
      <c r="N48" s="238"/>
      <c r="O48" s="238"/>
      <c r="P48" s="51"/>
      <c r="Q48" s="51"/>
      <c r="R48" s="51"/>
      <c r="S48" s="51"/>
      <c r="T48" s="69">
        <f t="shared" si="2"/>
        <v>0</v>
      </c>
    </row>
    <row r="49" spans="1:20" ht="11.25" customHeight="1" x14ac:dyDescent="0.2">
      <c r="A49" s="223"/>
      <c r="B49" s="216"/>
      <c r="C49" s="216"/>
      <c r="D49" s="216"/>
      <c r="E49" s="216"/>
      <c r="F49" s="216"/>
      <c r="G49" s="216"/>
      <c r="H49" s="216"/>
      <c r="I49" s="216"/>
      <c r="J49" s="238" t="s">
        <v>199</v>
      </c>
      <c r="K49" s="238"/>
      <c r="L49" s="238"/>
      <c r="M49" s="238"/>
      <c r="N49" s="238"/>
      <c r="O49" s="238"/>
      <c r="P49" s="51"/>
      <c r="Q49" s="51"/>
      <c r="R49" s="51"/>
      <c r="S49" s="51"/>
      <c r="T49" s="69">
        <f t="shared" si="2"/>
        <v>0</v>
      </c>
    </row>
    <row r="50" spans="1:20" ht="18.75" customHeight="1" x14ac:dyDescent="0.2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56"/>
      <c r="M50" s="56"/>
      <c r="N50" s="56"/>
      <c r="O50" s="56"/>
      <c r="P50" s="57"/>
      <c r="Q50" s="55"/>
      <c r="R50" s="55"/>
      <c r="S50" s="71"/>
      <c r="T50" s="72">
        <f>T45+T46+T47+T48+T49</f>
        <v>60</v>
      </c>
    </row>
    <row r="51" spans="1:20" ht="18.75" customHeight="1" x14ac:dyDescent="0.2">
      <c r="A51" s="243" t="s">
        <v>81</v>
      </c>
      <c r="B51" s="226" t="s">
        <v>82</v>
      </c>
      <c r="C51" s="220"/>
      <c r="D51" s="220"/>
      <c r="E51" s="220"/>
      <c r="F51" s="220"/>
      <c r="G51" s="220"/>
      <c r="H51" s="220"/>
      <c r="I51" s="220"/>
      <c r="J51" s="237" t="s">
        <v>94</v>
      </c>
      <c r="K51" s="237"/>
      <c r="L51" s="237"/>
      <c r="M51" s="237"/>
      <c r="N51" s="237"/>
      <c r="O51" s="237"/>
      <c r="P51" s="50"/>
      <c r="Q51" s="50"/>
      <c r="R51" s="50"/>
      <c r="S51" s="50"/>
      <c r="T51" s="69">
        <f>P51+Q51+R51+S51</f>
        <v>0</v>
      </c>
    </row>
    <row r="52" spans="1:20" ht="18.75" customHeight="1" x14ac:dyDescent="0.2">
      <c r="A52" s="223"/>
      <c r="B52" s="216"/>
      <c r="C52" s="216"/>
      <c r="D52" s="216"/>
      <c r="E52" s="216"/>
      <c r="F52" s="216"/>
      <c r="G52" s="216"/>
      <c r="H52" s="216"/>
      <c r="I52" s="216"/>
      <c r="J52" s="238" t="s">
        <v>196</v>
      </c>
      <c r="K52" s="238"/>
      <c r="L52" s="238"/>
      <c r="M52" s="238"/>
      <c r="N52" s="238"/>
      <c r="O52" s="238"/>
      <c r="P52" s="51"/>
      <c r="Q52" s="51"/>
      <c r="R52" s="51"/>
      <c r="S52" s="51"/>
      <c r="T52" s="69">
        <f t="shared" ref="T52:T55" si="3">P52+Q52+R52+S52</f>
        <v>0</v>
      </c>
    </row>
    <row r="53" spans="1:20" ht="18.75" customHeight="1" x14ac:dyDescent="0.2">
      <c r="A53" s="223"/>
      <c r="B53" s="216"/>
      <c r="C53" s="216"/>
      <c r="D53" s="216"/>
      <c r="E53" s="216"/>
      <c r="F53" s="216"/>
      <c r="G53" s="216"/>
      <c r="H53" s="216"/>
      <c r="I53" s="216"/>
      <c r="J53" s="238" t="s">
        <v>197</v>
      </c>
      <c r="K53" s="238"/>
      <c r="L53" s="238"/>
      <c r="M53" s="238"/>
      <c r="N53" s="238"/>
      <c r="O53" s="238"/>
      <c r="P53" s="51"/>
      <c r="Q53" s="51"/>
      <c r="R53" s="51"/>
      <c r="S53" s="51"/>
      <c r="T53" s="69">
        <f t="shared" si="3"/>
        <v>0</v>
      </c>
    </row>
    <row r="54" spans="1:20" ht="18.75" customHeight="1" x14ac:dyDescent="0.2">
      <c r="A54" s="223"/>
      <c r="B54" s="216"/>
      <c r="C54" s="216"/>
      <c r="D54" s="216"/>
      <c r="E54" s="216"/>
      <c r="F54" s="216"/>
      <c r="G54" s="216"/>
      <c r="H54" s="216"/>
      <c r="I54" s="216"/>
      <c r="J54" s="238" t="s">
        <v>198</v>
      </c>
      <c r="K54" s="238"/>
      <c r="L54" s="238"/>
      <c r="M54" s="238"/>
      <c r="N54" s="238"/>
      <c r="O54" s="238"/>
      <c r="P54" s="51">
        <v>150</v>
      </c>
      <c r="Q54" s="51"/>
      <c r="R54" s="51"/>
      <c r="S54" s="51"/>
      <c r="T54" s="69">
        <f t="shared" si="3"/>
        <v>150</v>
      </c>
    </row>
    <row r="55" spans="1:20" ht="18.75" customHeight="1" x14ac:dyDescent="0.2">
      <c r="A55" s="223"/>
      <c r="B55" s="216"/>
      <c r="C55" s="216"/>
      <c r="D55" s="216"/>
      <c r="E55" s="216"/>
      <c r="F55" s="216"/>
      <c r="G55" s="216"/>
      <c r="H55" s="216"/>
      <c r="I55" s="216"/>
      <c r="J55" s="238" t="s">
        <v>199</v>
      </c>
      <c r="K55" s="238"/>
      <c r="L55" s="238"/>
      <c r="M55" s="238"/>
      <c r="N55" s="238"/>
      <c r="O55" s="238"/>
      <c r="P55" s="51"/>
      <c r="Q55" s="51"/>
      <c r="R55" s="51"/>
      <c r="S55" s="51"/>
      <c r="T55" s="69">
        <f t="shared" si="3"/>
        <v>0</v>
      </c>
    </row>
    <row r="56" spans="1:20" ht="18.75" customHeight="1" x14ac:dyDescent="0.2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56"/>
      <c r="M56" s="56"/>
      <c r="N56" s="56"/>
      <c r="O56" s="56"/>
      <c r="P56" s="57"/>
      <c r="Q56" s="55"/>
      <c r="R56" s="55"/>
      <c r="S56" s="71"/>
      <c r="T56" s="72">
        <f>T51+T52+T53+T54+T55</f>
        <v>150</v>
      </c>
    </row>
    <row r="57" spans="1:20" ht="9.75" customHeight="1" x14ac:dyDescent="0.2">
      <c r="A57" s="243" t="s">
        <v>83</v>
      </c>
      <c r="B57" s="255" t="s">
        <v>200</v>
      </c>
      <c r="C57" s="255"/>
      <c r="D57" s="255"/>
      <c r="E57" s="255"/>
      <c r="F57" s="255"/>
      <c r="G57" s="255"/>
      <c r="H57" s="255"/>
      <c r="I57" s="255"/>
      <c r="J57" s="237" t="s">
        <v>201</v>
      </c>
      <c r="K57" s="237"/>
      <c r="L57" s="237"/>
      <c r="M57" s="237"/>
      <c r="N57" s="237"/>
      <c r="O57" s="237"/>
      <c r="P57" s="50"/>
      <c r="Q57" s="50"/>
      <c r="R57" s="50"/>
      <c r="S57" s="50"/>
      <c r="T57" s="69">
        <f>P57+Q57+R57+S57</f>
        <v>0</v>
      </c>
    </row>
    <row r="58" spans="1:20" ht="9.75" customHeight="1" x14ac:dyDescent="0.2">
      <c r="A58" s="223"/>
      <c r="B58" s="219"/>
      <c r="C58" s="219"/>
      <c r="D58" s="219"/>
      <c r="E58" s="219"/>
      <c r="F58" s="219"/>
      <c r="G58" s="219"/>
      <c r="H58" s="219"/>
      <c r="I58" s="219"/>
      <c r="J58" s="238" t="s">
        <v>202</v>
      </c>
      <c r="K58" s="238"/>
      <c r="L58" s="238"/>
      <c r="M58" s="238"/>
      <c r="N58" s="238"/>
      <c r="O58" s="238"/>
      <c r="P58" s="51"/>
      <c r="Q58" s="51"/>
      <c r="R58" s="51"/>
      <c r="S58" s="51"/>
      <c r="T58" s="69">
        <f t="shared" ref="T58:T61" si="4">P58+Q58+R58+S58</f>
        <v>0</v>
      </c>
    </row>
    <row r="59" spans="1:20" ht="9.75" customHeight="1" x14ac:dyDescent="0.2">
      <c r="A59" s="223"/>
      <c r="B59" s="219"/>
      <c r="C59" s="219"/>
      <c r="D59" s="219"/>
      <c r="E59" s="219"/>
      <c r="F59" s="219"/>
      <c r="G59" s="219"/>
      <c r="H59" s="219"/>
      <c r="I59" s="219"/>
      <c r="J59" s="238" t="s">
        <v>203</v>
      </c>
      <c r="K59" s="238"/>
      <c r="L59" s="238"/>
      <c r="M59" s="238"/>
      <c r="N59" s="238"/>
      <c r="O59" s="238"/>
      <c r="P59" s="51">
        <v>30</v>
      </c>
      <c r="Q59" s="51">
        <v>10</v>
      </c>
      <c r="R59" s="51">
        <v>10</v>
      </c>
      <c r="S59" s="51"/>
      <c r="T59" s="69">
        <f t="shared" si="4"/>
        <v>50</v>
      </c>
    </row>
    <row r="60" spans="1:20" ht="9.75" customHeight="1" x14ac:dyDescent="0.2">
      <c r="A60" s="223"/>
      <c r="B60" s="219"/>
      <c r="C60" s="219"/>
      <c r="D60" s="219"/>
      <c r="E60" s="219"/>
      <c r="F60" s="219"/>
      <c r="G60" s="219"/>
      <c r="H60" s="219"/>
      <c r="I60" s="219"/>
      <c r="J60" s="238" t="s">
        <v>204</v>
      </c>
      <c r="K60" s="238"/>
      <c r="L60" s="238"/>
      <c r="M60" s="238"/>
      <c r="N60" s="238"/>
      <c r="O60" s="238"/>
      <c r="P60" s="51"/>
      <c r="Q60" s="51"/>
      <c r="R60" s="51"/>
      <c r="S60" s="51"/>
      <c r="T60" s="69">
        <f t="shared" si="4"/>
        <v>0</v>
      </c>
    </row>
    <row r="61" spans="1:20" ht="78" customHeight="1" x14ac:dyDescent="0.2">
      <c r="A61" s="244"/>
      <c r="B61" s="256"/>
      <c r="C61" s="256"/>
      <c r="D61" s="256"/>
      <c r="E61" s="256"/>
      <c r="F61" s="256"/>
      <c r="G61" s="256"/>
      <c r="H61" s="256"/>
      <c r="I61" s="256"/>
      <c r="J61" s="245" t="s">
        <v>205</v>
      </c>
      <c r="K61" s="245"/>
      <c r="L61" s="245"/>
      <c r="M61" s="245"/>
      <c r="N61" s="245"/>
      <c r="O61" s="245"/>
      <c r="P61" s="52"/>
      <c r="Q61" s="52"/>
      <c r="R61" s="52"/>
      <c r="S61" s="52"/>
      <c r="T61" s="69">
        <f t="shared" si="4"/>
        <v>0</v>
      </c>
    </row>
    <row r="62" spans="1:20" ht="16.5" customHeight="1" x14ac:dyDescent="0.2">
      <c r="A62" s="3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56"/>
      <c r="M62" s="56"/>
      <c r="N62" s="56"/>
      <c r="O62" s="56"/>
      <c r="P62" s="57"/>
      <c r="Q62" s="55"/>
      <c r="R62" s="55"/>
      <c r="S62" s="71"/>
      <c r="T62" s="73">
        <f>T57+T58+T59+T61</f>
        <v>50</v>
      </c>
    </row>
    <row r="63" spans="1:20" ht="18" customHeight="1" x14ac:dyDescent="0.2">
      <c r="A63" s="243" t="s">
        <v>89</v>
      </c>
      <c r="B63" s="249" t="s">
        <v>88</v>
      </c>
      <c r="C63" s="250"/>
      <c r="D63" s="250"/>
      <c r="E63" s="250"/>
      <c r="F63" s="250"/>
      <c r="G63" s="250"/>
      <c r="H63" s="250"/>
      <c r="I63" s="250"/>
      <c r="J63" s="237" t="s">
        <v>206</v>
      </c>
      <c r="K63" s="237"/>
      <c r="L63" s="237"/>
      <c r="M63" s="237"/>
      <c r="N63" s="237"/>
      <c r="O63" s="237"/>
      <c r="P63" s="50">
        <v>3</v>
      </c>
      <c r="Q63" s="50"/>
      <c r="R63" s="50"/>
      <c r="S63" s="50"/>
      <c r="T63" s="74">
        <f>P63+Q63+R63+S63</f>
        <v>3</v>
      </c>
    </row>
    <row r="64" spans="1:20" ht="10.5" customHeight="1" x14ac:dyDescent="0.2">
      <c r="A64" s="223"/>
      <c r="B64" s="251"/>
      <c r="C64" s="252"/>
      <c r="D64" s="252"/>
      <c r="E64" s="252"/>
      <c r="F64" s="252"/>
      <c r="G64" s="252"/>
      <c r="H64" s="252"/>
      <c r="I64" s="252"/>
      <c r="J64" s="238" t="s">
        <v>207</v>
      </c>
      <c r="K64" s="238"/>
      <c r="L64" s="238"/>
      <c r="M64" s="238"/>
      <c r="N64" s="238"/>
      <c r="O64" s="238"/>
      <c r="P64" s="51"/>
      <c r="Q64" s="51"/>
      <c r="R64" s="51"/>
      <c r="S64" s="51"/>
      <c r="T64" s="74">
        <f t="shared" ref="T64:T67" si="5">P64+Q64+R64+S64</f>
        <v>0</v>
      </c>
    </row>
    <row r="65" spans="1:20" ht="10.5" customHeight="1" x14ac:dyDescent="0.2">
      <c r="A65" s="223"/>
      <c r="B65" s="251"/>
      <c r="C65" s="252"/>
      <c r="D65" s="252"/>
      <c r="E65" s="252"/>
      <c r="F65" s="252"/>
      <c r="G65" s="252"/>
      <c r="H65" s="252"/>
      <c r="I65" s="252"/>
      <c r="J65" s="238" t="s">
        <v>208</v>
      </c>
      <c r="K65" s="238"/>
      <c r="L65" s="238"/>
      <c r="M65" s="238"/>
      <c r="N65" s="238"/>
      <c r="O65" s="238"/>
      <c r="P65" s="51"/>
      <c r="Q65" s="51"/>
      <c r="R65" s="51"/>
      <c r="S65" s="51"/>
      <c r="T65" s="74">
        <f t="shared" si="5"/>
        <v>0</v>
      </c>
    </row>
    <row r="66" spans="1:20" ht="10.5" customHeight="1" x14ac:dyDescent="0.2">
      <c r="A66" s="223"/>
      <c r="B66" s="251"/>
      <c r="C66" s="252"/>
      <c r="D66" s="252"/>
      <c r="E66" s="252"/>
      <c r="F66" s="252"/>
      <c r="G66" s="252"/>
      <c r="H66" s="252"/>
      <c r="I66" s="252"/>
      <c r="J66" s="238" t="s">
        <v>209</v>
      </c>
      <c r="K66" s="238"/>
      <c r="L66" s="238"/>
      <c r="M66" s="238"/>
      <c r="N66" s="238"/>
      <c r="O66" s="238"/>
      <c r="P66" s="51"/>
      <c r="Q66" s="51"/>
      <c r="R66" s="51"/>
      <c r="S66" s="51"/>
      <c r="T66" s="74">
        <f t="shared" si="5"/>
        <v>0</v>
      </c>
    </row>
    <row r="67" spans="1:20" ht="13.5" customHeight="1" x14ac:dyDescent="0.2">
      <c r="A67" s="244"/>
      <c r="B67" s="253"/>
      <c r="C67" s="254"/>
      <c r="D67" s="254"/>
      <c r="E67" s="254"/>
      <c r="F67" s="254"/>
      <c r="G67" s="254"/>
      <c r="H67" s="254"/>
      <c r="I67" s="254"/>
      <c r="J67" s="239" t="s">
        <v>210</v>
      </c>
      <c r="K67" s="239"/>
      <c r="L67" s="239"/>
      <c r="M67" s="239"/>
      <c r="N67" s="239"/>
      <c r="O67" s="239"/>
      <c r="P67" s="52"/>
      <c r="Q67" s="52"/>
      <c r="R67" s="52"/>
      <c r="S67" s="52"/>
      <c r="T67" s="74">
        <f t="shared" si="5"/>
        <v>0</v>
      </c>
    </row>
    <row r="68" spans="1:20" ht="21.75" customHeight="1" x14ac:dyDescent="0.2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56"/>
      <c r="M68" s="56"/>
      <c r="N68" s="56"/>
      <c r="O68" s="56"/>
      <c r="P68" s="57"/>
      <c r="Q68" s="55"/>
      <c r="R68" s="55"/>
      <c r="S68" s="71"/>
      <c r="T68" s="114">
        <f>T63+T64+T66+T67</f>
        <v>3</v>
      </c>
    </row>
    <row r="69" spans="1:20" ht="12" customHeight="1" x14ac:dyDescent="0.2">
      <c r="A69" s="243" t="s">
        <v>87</v>
      </c>
      <c r="B69" s="255" t="s">
        <v>90</v>
      </c>
      <c r="C69" s="255"/>
      <c r="D69" s="255"/>
      <c r="E69" s="255"/>
      <c r="F69" s="255"/>
      <c r="G69" s="255"/>
      <c r="H69" s="255"/>
      <c r="I69" s="255"/>
      <c r="J69" s="237" t="s">
        <v>207</v>
      </c>
      <c r="K69" s="237"/>
      <c r="L69" s="237"/>
      <c r="M69" s="237"/>
      <c r="N69" s="237"/>
      <c r="O69" s="237"/>
      <c r="P69" s="50"/>
      <c r="Q69" s="50"/>
      <c r="R69" s="50"/>
      <c r="S69" s="69"/>
      <c r="T69" s="115">
        <f>P69+Q69+R69+S69</f>
        <v>0</v>
      </c>
    </row>
    <row r="70" spans="1:20" ht="12" customHeight="1" x14ac:dyDescent="0.2">
      <c r="A70" s="223"/>
      <c r="B70" s="219"/>
      <c r="C70" s="219"/>
      <c r="D70" s="219"/>
      <c r="E70" s="219"/>
      <c r="F70" s="219"/>
      <c r="G70" s="219"/>
      <c r="H70" s="219"/>
      <c r="I70" s="219"/>
      <c r="J70" s="238" t="s">
        <v>211</v>
      </c>
      <c r="K70" s="238"/>
      <c r="L70" s="238"/>
      <c r="M70" s="238"/>
      <c r="N70" s="238"/>
      <c r="O70" s="238"/>
      <c r="P70" s="16"/>
      <c r="Q70" s="116"/>
      <c r="R70" s="51"/>
      <c r="S70" s="117"/>
      <c r="T70" s="115">
        <f t="shared" ref="T70:T72" si="6">P70+Q70+R70+S70</f>
        <v>0</v>
      </c>
    </row>
    <row r="71" spans="1:20" ht="12" customHeight="1" x14ac:dyDescent="0.2">
      <c r="A71" s="223"/>
      <c r="B71" s="219"/>
      <c r="C71" s="219"/>
      <c r="D71" s="219"/>
      <c r="E71" s="219"/>
      <c r="F71" s="219"/>
      <c r="G71" s="219"/>
      <c r="H71" s="219"/>
      <c r="I71" s="219"/>
      <c r="J71" s="238" t="s">
        <v>203</v>
      </c>
      <c r="K71" s="238"/>
      <c r="L71" s="238"/>
      <c r="M71" s="238"/>
      <c r="N71" s="238"/>
      <c r="O71" s="238"/>
      <c r="P71" s="16"/>
      <c r="Q71" s="116"/>
      <c r="R71" s="51"/>
      <c r="S71" s="117"/>
      <c r="T71" s="115">
        <f t="shared" si="6"/>
        <v>0</v>
      </c>
    </row>
    <row r="72" spans="1:20" ht="12" customHeight="1" x14ac:dyDescent="0.2">
      <c r="A72" s="244"/>
      <c r="B72" s="256"/>
      <c r="C72" s="256"/>
      <c r="D72" s="256"/>
      <c r="E72" s="256"/>
      <c r="F72" s="256"/>
      <c r="G72" s="256"/>
      <c r="H72" s="256"/>
      <c r="I72" s="256"/>
      <c r="J72" s="239" t="s">
        <v>212</v>
      </c>
      <c r="K72" s="239"/>
      <c r="L72" s="239"/>
      <c r="M72" s="239"/>
      <c r="N72" s="239"/>
      <c r="O72" s="239"/>
      <c r="P72" s="96"/>
      <c r="Q72" s="118"/>
      <c r="R72" s="52"/>
      <c r="S72" s="119"/>
      <c r="T72" s="115">
        <f t="shared" si="6"/>
        <v>0</v>
      </c>
    </row>
    <row r="73" spans="1:20" ht="9.75" customHeight="1" x14ac:dyDescent="0.2">
      <c r="A73" s="37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56"/>
      <c r="M73" s="56"/>
      <c r="N73" s="56"/>
      <c r="O73" s="56"/>
      <c r="P73" s="97"/>
      <c r="Q73" s="120"/>
      <c r="R73" s="121"/>
      <c r="S73" s="121"/>
      <c r="T73" s="122">
        <f>T69+T70+T71+T72</f>
        <v>0</v>
      </c>
    </row>
    <row r="74" spans="1:20" ht="21.75" customHeight="1" x14ac:dyDescent="0.2">
      <c r="A74" s="246" t="s">
        <v>213</v>
      </c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8"/>
      <c r="T74" s="123">
        <f>T44+T50+T62+T73</f>
        <v>482.5</v>
      </c>
    </row>
    <row r="75" spans="1:20" ht="9" customHeight="1" x14ac:dyDescent="0.2">
      <c r="A75" s="364" t="s">
        <v>214</v>
      </c>
      <c r="B75" s="365"/>
      <c r="C75" s="366"/>
      <c r="D75" s="370" t="s">
        <v>14</v>
      </c>
      <c r="E75" s="371"/>
      <c r="F75" s="371"/>
      <c r="G75" s="371"/>
      <c r="H75" s="365"/>
      <c r="I75" s="365"/>
      <c r="J75" s="365"/>
      <c r="K75" s="366"/>
      <c r="L75" s="220" t="s">
        <v>185</v>
      </c>
      <c r="M75" s="220"/>
      <c r="N75" s="226" t="s">
        <v>186</v>
      </c>
      <c r="O75" s="226"/>
      <c r="P75" s="240" t="s">
        <v>187</v>
      </c>
      <c r="Q75" s="240"/>
      <c r="R75" s="241" t="s">
        <v>188</v>
      </c>
      <c r="S75" s="242"/>
      <c r="T75" s="314" t="s">
        <v>215</v>
      </c>
    </row>
    <row r="76" spans="1:20" ht="17.25" customHeight="1" x14ac:dyDescent="0.2">
      <c r="A76" s="367"/>
      <c r="B76" s="368"/>
      <c r="C76" s="369"/>
      <c r="D76" s="372"/>
      <c r="E76" s="368"/>
      <c r="F76" s="368"/>
      <c r="G76" s="368"/>
      <c r="H76" s="368"/>
      <c r="I76" s="368"/>
      <c r="J76" s="368"/>
      <c r="K76" s="369"/>
      <c r="L76" s="47" t="s">
        <v>216</v>
      </c>
      <c r="M76" s="47" t="s">
        <v>217</v>
      </c>
      <c r="N76" s="47" t="s">
        <v>216</v>
      </c>
      <c r="O76" s="47" t="s">
        <v>217</v>
      </c>
      <c r="P76" s="18" t="s">
        <v>216</v>
      </c>
      <c r="Q76" s="18" t="s">
        <v>217</v>
      </c>
      <c r="R76" s="18" t="s">
        <v>216</v>
      </c>
      <c r="S76" s="18" t="s">
        <v>217</v>
      </c>
      <c r="T76" s="315"/>
    </row>
    <row r="77" spans="1:20" ht="11.25" customHeight="1" x14ac:dyDescent="0.2">
      <c r="A77" s="223" t="s">
        <v>71</v>
      </c>
      <c r="B77" s="360" t="s">
        <v>218</v>
      </c>
      <c r="C77" s="361"/>
      <c r="D77" s="209" t="s">
        <v>219</v>
      </c>
      <c r="E77" s="209"/>
      <c r="F77" s="209"/>
      <c r="G77" s="209"/>
      <c r="H77" s="209"/>
      <c r="I77" s="209"/>
      <c r="J77" s="209"/>
      <c r="K77" s="209"/>
      <c r="L77" s="98">
        <v>10</v>
      </c>
      <c r="M77" s="98"/>
      <c r="N77" s="99"/>
      <c r="O77" s="99"/>
      <c r="P77" s="51"/>
      <c r="Q77" s="51"/>
      <c r="R77" s="51"/>
      <c r="S77" s="51"/>
      <c r="T77" s="117">
        <f>L77+M77+N77+O77+P77+Q77+R77+S77</f>
        <v>10</v>
      </c>
    </row>
    <row r="78" spans="1:20" ht="11.25" customHeight="1" x14ac:dyDescent="0.2">
      <c r="A78" s="223"/>
      <c r="B78" s="362"/>
      <c r="C78" s="363"/>
      <c r="D78" s="209" t="s">
        <v>220</v>
      </c>
      <c r="E78" s="209"/>
      <c r="F78" s="209"/>
      <c r="G78" s="209"/>
      <c r="H78" s="209"/>
      <c r="I78" s="209"/>
      <c r="J78" s="209"/>
      <c r="K78" s="209"/>
      <c r="L78" s="98"/>
      <c r="M78" s="98"/>
      <c r="N78" s="99"/>
      <c r="O78" s="99"/>
      <c r="P78" s="51"/>
      <c r="Q78" s="51"/>
      <c r="R78" s="51"/>
      <c r="S78" s="51"/>
      <c r="T78" s="117">
        <f t="shared" ref="T78:T81" si="7">L78+M78+N78+O78+P78+Q78+R78+S78</f>
        <v>0</v>
      </c>
    </row>
    <row r="79" spans="1:20" ht="11.25" customHeight="1" x14ac:dyDescent="0.2">
      <c r="A79" s="223"/>
      <c r="B79" s="362"/>
      <c r="C79" s="363"/>
      <c r="D79" s="209" t="s">
        <v>221</v>
      </c>
      <c r="E79" s="209"/>
      <c r="F79" s="209"/>
      <c r="G79" s="209"/>
      <c r="H79" s="209"/>
      <c r="I79" s="209"/>
      <c r="J79" s="209"/>
      <c r="K79" s="209"/>
      <c r="L79" s="98"/>
      <c r="M79" s="98"/>
      <c r="N79" s="99"/>
      <c r="O79" s="99"/>
      <c r="P79" s="51"/>
      <c r="Q79" s="51"/>
      <c r="R79" s="51"/>
      <c r="S79" s="51"/>
      <c r="T79" s="117">
        <f t="shared" si="7"/>
        <v>0</v>
      </c>
    </row>
    <row r="80" spans="1:20" ht="11.25" customHeight="1" x14ac:dyDescent="0.2">
      <c r="A80" s="223"/>
      <c r="B80" s="362"/>
      <c r="C80" s="363"/>
      <c r="D80" s="209" t="s">
        <v>222</v>
      </c>
      <c r="E80" s="209"/>
      <c r="F80" s="209"/>
      <c r="G80" s="209"/>
      <c r="H80" s="209"/>
      <c r="I80" s="209"/>
      <c r="J80" s="209"/>
      <c r="K80" s="209"/>
      <c r="L80" s="98"/>
      <c r="M80" s="98"/>
      <c r="N80" s="99"/>
      <c r="O80" s="99"/>
      <c r="P80" s="51"/>
      <c r="Q80" s="51"/>
      <c r="R80" s="51"/>
      <c r="S80" s="51"/>
      <c r="T80" s="117">
        <f t="shared" si="7"/>
        <v>0</v>
      </c>
    </row>
    <row r="81" spans="1:20" ht="11.25" customHeight="1" x14ac:dyDescent="0.2">
      <c r="A81" s="223"/>
      <c r="B81" s="362"/>
      <c r="C81" s="363"/>
      <c r="D81" s="219" t="s">
        <v>223</v>
      </c>
      <c r="E81" s="219"/>
      <c r="F81" s="219"/>
      <c r="G81" s="219"/>
      <c r="H81" s="219"/>
      <c r="I81" s="219"/>
      <c r="J81" s="219"/>
      <c r="K81" s="219"/>
      <c r="L81" s="98"/>
      <c r="M81" s="98"/>
      <c r="N81" s="16"/>
      <c r="O81" s="16"/>
      <c r="P81" s="16"/>
      <c r="Q81" s="116"/>
      <c r="R81" s="51"/>
      <c r="S81" s="51"/>
      <c r="T81" s="117">
        <f t="shared" si="7"/>
        <v>0</v>
      </c>
    </row>
    <row r="82" spans="1:20" ht="23.25" customHeight="1" x14ac:dyDescent="0.2">
      <c r="A82" s="76"/>
      <c r="B82" s="77"/>
      <c r="C82" s="78"/>
      <c r="D82" s="40"/>
      <c r="E82" s="41"/>
      <c r="F82" s="41"/>
      <c r="G82" s="41"/>
      <c r="H82" s="41"/>
      <c r="I82" s="41"/>
      <c r="J82" s="41"/>
      <c r="K82" s="41"/>
      <c r="L82" s="41"/>
      <c r="M82" s="100"/>
      <c r="N82" s="97"/>
      <c r="O82" s="97"/>
      <c r="P82" s="97"/>
      <c r="Q82" s="120"/>
      <c r="R82" s="124"/>
      <c r="S82" s="125"/>
      <c r="T82" s="70">
        <f>T77+T78+T79+T80+T81</f>
        <v>10</v>
      </c>
    </row>
    <row r="83" spans="1:20" ht="15" customHeight="1" x14ac:dyDescent="0.2">
      <c r="A83" s="243" t="s">
        <v>79</v>
      </c>
      <c r="B83" s="324" t="s">
        <v>224</v>
      </c>
      <c r="C83" s="325"/>
      <c r="D83" s="298" t="s">
        <v>225</v>
      </c>
      <c r="E83" s="298"/>
      <c r="F83" s="298"/>
      <c r="G83" s="298"/>
      <c r="H83" s="298"/>
      <c r="I83" s="298"/>
      <c r="J83" s="298"/>
      <c r="K83" s="298"/>
      <c r="L83" s="101">
        <v>5</v>
      </c>
      <c r="M83" s="101"/>
      <c r="N83" s="102"/>
      <c r="O83" s="102"/>
      <c r="P83" s="102"/>
      <c r="Q83" s="126"/>
      <c r="R83" s="126"/>
      <c r="S83" s="126"/>
      <c r="T83" s="69">
        <f>L83+M83+N83+O83+P83+Q83+R83+S83</f>
        <v>5</v>
      </c>
    </row>
    <row r="84" spans="1:20" ht="15" customHeight="1" x14ac:dyDescent="0.2">
      <c r="A84" s="223"/>
      <c r="B84" s="331"/>
      <c r="C84" s="331"/>
      <c r="D84" s="209" t="s">
        <v>226</v>
      </c>
      <c r="E84" s="209"/>
      <c r="F84" s="209"/>
      <c r="G84" s="209"/>
      <c r="H84" s="209"/>
      <c r="I84" s="209"/>
      <c r="J84" s="209"/>
      <c r="K84" s="209"/>
      <c r="L84" s="98">
        <v>6</v>
      </c>
      <c r="M84" s="98"/>
      <c r="N84" s="16"/>
      <c r="O84" s="16"/>
      <c r="P84" s="16"/>
      <c r="Q84" s="116"/>
      <c r="R84" s="116"/>
      <c r="S84" s="116"/>
      <c r="T84" s="69">
        <f t="shared" ref="T84:T87" si="8">L84+M84+N84+O84+P84+Q84+R84+S84</f>
        <v>6</v>
      </c>
    </row>
    <row r="85" spans="1:20" ht="15" customHeight="1" x14ac:dyDescent="0.2">
      <c r="A85" s="223"/>
      <c r="B85" s="331"/>
      <c r="C85" s="331"/>
      <c r="D85" s="209" t="s">
        <v>227</v>
      </c>
      <c r="E85" s="209"/>
      <c r="F85" s="209"/>
      <c r="G85" s="209"/>
      <c r="H85" s="209"/>
      <c r="I85" s="209"/>
      <c r="J85" s="209"/>
      <c r="K85" s="209"/>
      <c r="L85" s="98">
        <v>7</v>
      </c>
      <c r="M85" s="98"/>
      <c r="N85" s="16"/>
      <c r="O85" s="16"/>
      <c r="P85" s="16"/>
      <c r="Q85" s="116"/>
      <c r="R85" s="116"/>
      <c r="S85" s="116"/>
      <c r="T85" s="69">
        <f t="shared" si="8"/>
        <v>7</v>
      </c>
    </row>
    <row r="86" spans="1:20" ht="15" customHeight="1" x14ac:dyDescent="0.2">
      <c r="A86" s="223"/>
      <c r="B86" s="331"/>
      <c r="C86" s="331"/>
      <c r="D86" s="209" t="s">
        <v>228</v>
      </c>
      <c r="E86" s="209"/>
      <c r="F86" s="209"/>
      <c r="G86" s="209"/>
      <c r="H86" s="209"/>
      <c r="I86" s="209"/>
      <c r="J86" s="209"/>
      <c r="K86" s="209"/>
      <c r="L86" s="98"/>
      <c r="M86" s="98"/>
      <c r="N86" s="16"/>
      <c r="O86" s="16"/>
      <c r="P86" s="16"/>
      <c r="Q86" s="116"/>
      <c r="R86" s="116"/>
      <c r="S86" s="116"/>
      <c r="T86" s="69">
        <f t="shared" si="8"/>
        <v>0</v>
      </c>
    </row>
    <row r="87" spans="1:20" ht="15" customHeight="1" x14ac:dyDescent="0.2">
      <c r="A87" s="244"/>
      <c r="B87" s="326"/>
      <c r="C87" s="326"/>
      <c r="D87" s="256" t="s">
        <v>229</v>
      </c>
      <c r="E87" s="256"/>
      <c r="F87" s="256"/>
      <c r="G87" s="256"/>
      <c r="H87" s="256"/>
      <c r="I87" s="256"/>
      <c r="J87" s="256"/>
      <c r="K87" s="256"/>
      <c r="L87" s="103"/>
      <c r="M87" s="103"/>
      <c r="N87" s="96"/>
      <c r="O87" s="96"/>
      <c r="P87" s="96"/>
      <c r="Q87" s="118"/>
      <c r="R87" s="118"/>
      <c r="S87" s="118"/>
      <c r="T87" s="69">
        <f t="shared" si="8"/>
        <v>0</v>
      </c>
    </row>
    <row r="88" spans="1:20" ht="19.5" customHeight="1" x14ac:dyDescent="0.2">
      <c r="A88" s="76"/>
      <c r="B88" s="77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97"/>
      <c r="O88" s="97"/>
      <c r="P88" s="97"/>
      <c r="Q88" s="120"/>
      <c r="R88" s="124"/>
      <c r="S88" s="125"/>
      <c r="T88" s="127">
        <f>T83+T84+T85+T86+T87</f>
        <v>18</v>
      </c>
    </row>
    <row r="89" spans="1:20" ht="12" customHeight="1" x14ac:dyDescent="0.2">
      <c r="A89" s="243" t="s">
        <v>81</v>
      </c>
      <c r="B89" s="324" t="s">
        <v>100</v>
      </c>
      <c r="C89" s="324"/>
      <c r="D89" s="298" t="s">
        <v>230</v>
      </c>
      <c r="E89" s="298"/>
      <c r="F89" s="298"/>
      <c r="G89" s="298"/>
      <c r="H89" s="298"/>
      <c r="I89" s="298"/>
      <c r="J89" s="298"/>
      <c r="K89" s="298"/>
      <c r="L89" s="101">
        <v>5</v>
      </c>
      <c r="M89" s="101"/>
      <c r="N89" s="102"/>
      <c r="O89" s="102"/>
      <c r="P89" s="102"/>
      <c r="Q89" s="126"/>
      <c r="R89" s="126"/>
      <c r="S89" s="126"/>
      <c r="T89" s="128">
        <f>L89+M89+N89+O89+P89+Q89+R89+S89</f>
        <v>5</v>
      </c>
    </row>
    <row r="90" spans="1:20" ht="12" customHeight="1" x14ac:dyDescent="0.2">
      <c r="A90" s="223"/>
      <c r="B90" s="224"/>
      <c r="C90" s="224"/>
      <c r="D90" s="209" t="s">
        <v>231</v>
      </c>
      <c r="E90" s="209"/>
      <c r="F90" s="209"/>
      <c r="G90" s="209"/>
      <c r="H90" s="209"/>
      <c r="I90" s="209"/>
      <c r="J90" s="209"/>
      <c r="K90" s="209"/>
      <c r="L90" s="98">
        <v>7</v>
      </c>
      <c r="M90" s="98"/>
      <c r="N90" s="16"/>
      <c r="O90" s="16"/>
      <c r="P90" s="16"/>
      <c r="Q90" s="116"/>
      <c r="R90" s="116"/>
      <c r="S90" s="116"/>
      <c r="T90" s="128">
        <f t="shared" ref="T90:T92" si="9">L90+M90+N90+O90+P90+Q90+R90+S90</f>
        <v>7</v>
      </c>
    </row>
    <row r="91" spans="1:20" ht="12" customHeight="1" x14ac:dyDescent="0.2">
      <c r="A91" s="223"/>
      <c r="B91" s="224"/>
      <c r="C91" s="224"/>
      <c r="D91" s="209" t="s">
        <v>232</v>
      </c>
      <c r="E91" s="209"/>
      <c r="F91" s="209"/>
      <c r="G91" s="209"/>
      <c r="H91" s="209"/>
      <c r="I91" s="209"/>
      <c r="J91" s="209"/>
      <c r="K91" s="209"/>
      <c r="L91" s="98">
        <v>10</v>
      </c>
      <c r="M91" s="98"/>
      <c r="N91" s="16"/>
      <c r="O91" s="16"/>
      <c r="P91" s="16"/>
      <c r="Q91" s="116"/>
      <c r="R91" s="116"/>
      <c r="S91" s="116"/>
      <c r="T91" s="128">
        <f t="shared" si="9"/>
        <v>10</v>
      </c>
    </row>
    <row r="92" spans="1:20" ht="12" customHeight="1" x14ac:dyDescent="0.2">
      <c r="A92" s="244"/>
      <c r="B92" s="359"/>
      <c r="C92" s="359"/>
      <c r="D92" s="286" t="s">
        <v>233</v>
      </c>
      <c r="E92" s="286"/>
      <c r="F92" s="286"/>
      <c r="G92" s="286"/>
      <c r="H92" s="286"/>
      <c r="I92" s="286"/>
      <c r="J92" s="286"/>
      <c r="K92" s="286"/>
      <c r="L92" s="104"/>
      <c r="M92" s="104"/>
      <c r="N92" s="96"/>
      <c r="O92" s="96"/>
      <c r="P92" s="96"/>
      <c r="Q92" s="118"/>
      <c r="R92" s="118"/>
      <c r="S92" s="118"/>
      <c r="T92" s="128">
        <f t="shared" si="9"/>
        <v>0</v>
      </c>
    </row>
    <row r="93" spans="1:20" ht="12" customHeight="1" x14ac:dyDescent="0.2">
      <c r="A93" s="37"/>
      <c r="B93" s="80"/>
      <c r="C93" s="39"/>
      <c r="D93" s="81"/>
      <c r="E93" s="81"/>
      <c r="F93" s="81"/>
      <c r="G93" s="81"/>
      <c r="H93" s="81"/>
      <c r="I93" s="105"/>
      <c r="J93" s="105"/>
      <c r="K93" s="105"/>
      <c r="L93" s="81"/>
      <c r="M93" s="81"/>
      <c r="N93" s="97"/>
      <c r="O93" s="97"/>
      <c r="P93" s="97"/>
      <c r="Q93" s="75"/>
      <c r="R93" s="121"/>
      <c r="S93" s="124"/>
      <c r="T93" s="129">
        <f>T89+T90+T91+T92</f>
        <v>22</v>
      </c>
    </row>
    <row r="94" spans="1:20" ht="12.75" customHeight="1" x14ac:dyDescent="0.2">
      <c r="A94" s="296" t="s">
        <v>87</v>
      </c>
      <c r="B94" s="358" t="s">
        <v>101</v>
      </c>
      <c r="C94" s="358"/>
      <c r="D94" s="298" t="s">
        <v>234</v>
      </c>
      <c r="E94" s="298"/>
      <c r="F94" s="298"/>
      <c r="G94" s="298"/>
      <c r="H94" s="298"/>
      <c r="I94" s="298"/>
      <c r="J94" s="298"/>
      <c r="K94" s="298"/>
      <c r="L94" s="101">
        <v>30</v>
      </c>
      <c r="M94" s="101"/>
      <c r="N94" s="102"/>
      <c r="O94" s="102"/>
      <c r="P94" s="102"/>
      <c r="Q94" s="126"/>
      <c r="R94" s="126"/>
      <c r="S94" s="126"/>
      <c r="T94" s="128">
        <f>L94+M94+N94+O94+P94+Q94+R94+S94</f>
        <v>30</v>
      </c>
    </row>
    <row r="95" spans="1:20" ht="12.75" customHeight="1" x14ac:dyDescent="0.2">
      <c r="A95" s="297"/>
      <c r="B95" s="343"/>
      <c r="C95" s="343"/>
      <c r="D95" s="286"/>
      <c r="E95" s="286"/>
      <c r="F95" s="286"/>
      <c r="G95" s="286"/>
      <c r="H95" s="286"/>
      <c r="I95" s="286"/>
      <c r="J95" s="286"/>
      <c r="K95" s="286"/>
      <c r="L95" s="106"/>
      <c r="M95" s="106"/>
      <c r="N95" s="96"/>
      <c r="O95" s="96"/>
      <c r="P95" s="96"/>
      <c r="Q95" s="118"/>
      <c r="R95" s="118"/>
      <c r="S95" s="118"/>
      <c r="T95" s="130"/>
    </row>
    <row r="96" spans="1:20" ht="0.75" customHeight="1" x14ac:dyDescent="0.2">
      <c r="A96" s="82"/>
      <c r="B96" s="83"/>
      <c r="C96" s="8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97"/>
      <c r="O96" s="97"/>
      <c r="P96" s="97"/>
      <c r="Q96" s="75"/>
      <c r="R96" s="131"/>
      <c r="S96" s="131"/>
      <c r="T96" s="132">
        <f>T94+T95</f>
        <v>30</v>
      </c>
    </row>
    <row r="97" spans="1:20" ht="15.75" customHeight="1" x14ac:dyDescent="0.2">
      <c r="A97" s="85" t="s">
        <v>89</v>
      </c>
      <c r="B97" s="299" t="s">
        <v>102</v>
      </c>
      <c r="C97" s="300"/>
      <c r="D97" s="301" t="s">
        <v>235</v>
      </c>
      <c r="E97" s="301"/>
      <c r="F97" s="301"/>
      <c r="G97" s="301"/>
      <c r="H97" s="301"/>
      <c r="I97" s="301"/>
      <c r="J97" s="301"/>
      <c r="K97" s="301"/>
      <c r="L97" s="107"/>
      <c r="M97" s="107"/>
      <c r="N97" s="108"/>
      <c r="O97" s="108"/>
      <c r="P97" s="108"/>
      <c r="Q97" s="133"/>
      <c r="R97" s="133"/>
      <c r="S97" s="133"/>
      <c r="T97" s="134">
        <f>L97+M97+N97+O97+P97+Q97+R97+S97</f>
        <v>0</v>
      </c>
    </row>
    <row r="98" spans="1:20" ht="12.75" customHeight="1" x14ac:dyDescent="0.2">
      <c r="A98" s="302" t="s">
        <v>236</v>
      </c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89"/>
      <c r="T98" s="134">
        <f>T82+T88+T93+T94+T97</f>
        <v>80</v>
      </c>
    </row>
    <row r="99" spans="1:20" ht="24" customHeight="1" x14ac:dyDescent="0.2">
      <c r="A99" s="304" t="s">
        <v>237</v>
      </c>
      <c r="B99" s="305"/>
      <c r="C99" s="305"/>
      <c r="D99" s="305"/>
      <c r="E99" s="305"/>
      <c r="F99" s="306"/>
      <c r="G99" s="307" t="s">
        <v>184</v>
      </c>
      <c r="H99" s="216"/>
      <c r="I99" s="216"/>
      <c r="J99" s="216"/>
      <c r="K99" s="216"/>
      <c r="L99" s="216"/>
      <c r="M99" s="216"/>
      <c r="N99" s="216"/>
      <c r="O99" s="216"/>
      <c r="P99" s="50" t="s">
        <v>185</v>
      </c>
      <c r="Q99" s="50" t="s">
        <v>186</v>
      </c>
      <c r="R99" s="50" t="s">
        <v>187</v>
      </c>
      <c r="S99" s="50" t="s">
        <v>188</v>
      </c>
      <c r="T99" s="69" t="s">
        <v>165</v>
      </c>
    </row>
    <row r="100" spans="1:20" ht="12" customHeight="1" x14ac:dyDescent="0.2">
      <c r="A100" s="19" t="s">
        <v>238</v>
      </c>
      <c r="B100" s="308" t="s">
        <v>239</v>
      </c>
      <c r="C100" s="257"/>
      <c r="D100" s="257"/>
      <c r="E100" s="257"/>
      <c r="F100" s="257"/>
      <c r="G100" s="257" t="s">
        <v>240</v>
      </c>
      <c r="H100" s="257"/>
      <c r="I100" s="257"/>
      <c r="J100" s="257"/>
      <c r="K100" s="257"/>
      <c r="L100" s="257"/>
      <c r="M100" s="257"/>
      <c r="N100" s="257"/>
      <c r="O100" s="257"/>
      <c r="P100" s="16">
        <v>80</v>
      </c>
      <c r="Q100" s="116"/>
      <c r="R100" s="116"/>
      <c r="S100" s="116"/>
      <c r="T100" s="135">
        <f>P100+Q100+R100+S100</f>
        <v>80</v>
      </c>
    </row>
    <row r="101" spans="1:20" ht="9.75" customHeight="1" x14ac:dyDescent="0.2">
      <c r="A101" s="223" t="s">
        <v>241</v>
      </c>
      <c r="B101" s="262" t="s">
        <v>242</v>
      </c>
      <c r="C101" s="263"/>
      <c r="D101" s="263"/>
      <c r="E101" s="263"/>
      <c r="F101" s="263"/>
      <c r="G101" s="257" t="s">
        <v>243</v>
      </c>
      <c r="H101" s="257"/>
      <c r="I101" s="257"/>
      <c r="J101" s="257"/>
      <c r="K101" s="257"/>
      <c r="L101" s="257"/>
      <c r="M101" s="257"/>
      <c r="N101" s="257"/>
      <c r="O101" s="257"/>
      <c r="P101" s="16">
        <v>20</v>
      </c>
      <c r="Q101" s="116"/>
      <c r="R101" s="116"/>
      <c r="S101" s="116"/>
      <c r="T101" s="135">
        <f t="shared" ref="T101:T103" si="10">P101+Q101+R101+S101</f>
        <v>20</v>
      </c>
    </row>
    <row r="102" spans="1:20" ht="9.75" customHeight="1" x14ac:dyDescent="0.2">
      <c r="A102" s="223"/>
      <c r="B102" s="263"/>
      <c r="C102" s="263"/>
      <c r="D102" s="263"/>
      <c r="E102" s="263"/>
      <c r="F102" s="263"/>
      <c r="G102" s="257" t="s">
        <v>244</v>
      </c>
      <c r="H102" s="257"/>
      <c r="I102" s="257"/>
      <c r="J102" s="257"/>
      <c r="K102" s="257"/>
      <c r="L102" s="257"/>
      <c r="M102" s="257"/>
      <c r="N102" s="257"/>
      <c r="O102" s="257"/>
      <c r="P102" s="16"/>
      <c r="Q102" s="116"/>
      <c r="R102" s="116"/>
      <c r="S102" s="116"/>
      <c r="T102" s="135">
        <f t="shared" si="10"/>
        <v>0</v>
      </c>
    </row>
    <row r="103" spans="1:20" ht="9.75" customHeight="1" x14ac:dyDescent="0.2">
      <c r="A103" s="223"/>
      <c r="B103" s="263"/>
      <c r="C103" s="263"/>
      <c r="D103" s="263"/>
      <c r="E103" s="263"/>
      <c r="F103" s="263"/>
      <c r="G103" s="257" t="s">
        <v>245</v>
      </c>
      <c r="H103" s="257"/>
      <c r="I103" s="257"/>
      <c r="J103" s="257"/>
      <c r="K103" s="257"/>
      <c r="L103" s="257"/>
      <c r="M103" s="257"/>
      <c r="N103" s="257"/>
      <c r="O103" s="257"/>
      <c r="P103" s="16"/>
      <c r="Q103" s="116"/>
      <c r="R103" s="116"/>
      <c r="S103" s="116"/>
      <c r="T103" s="135">
        <f t="shared" si="10"/>
        <v>0</v>
      </c>
    </row>
    <row r="104" spans="1:20" ht="9" customHeight="1" x14ac:dyDescent="0.2">
      <c r="A104" s="19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23"/>
      <c r="M104" s="23"/>
      <c r="N104" s="23"/>
      <c r="O104" s="23"/>
      <c r="P104" s="16"/>
      <c r="Q104" s="116"/>
      <c r="R104" s="136"/>
      <c r="S104" s="136"/>
      <c r="T104" s="137">
        <f>T100+T101+T102+T103</f>
        <v>100</v>
      </c>
    </row>
    <row r="105" spans="1:20" ht="9.75" customHeight="1" x14ac:dyDescent="0.2">
      <c r="A105" s="223" t="s">
        <v>246</v>
      </c>
      <c r="B105" s="262" t="s">
        <v>247</v>
      </c>
      <c r="C105" s="263"/>
      <c r="D105" s="263"/>
      <c r="E105" s="263"/>
      <c r="F105" s="263"/>
      <c r="G105" s="238" t="s">
        <v>248</v>
      </c>
      <c r="H105" s="238"/>
      <c r="I105" s="238"/>
      <c r="J105" s="238"/>
      <c r="K105" s="238"/>
      <c r="L105" s="238"/>
      <c r="M105" s="238"/>
      <c r="N105" s="238"/>
      <c r="O105" s="238"/>
      <c r="P105" s="16"/>
      <c r="Q105" s="116"/>
      <c r="R105" s="116"/>
      <c r="S105" s="116"/>
      <c r="T105" s="135">
        <f>P105+Q105+R105+S105</f>
        <v>0</v>
      </c>
    </row>
    <row r="106" spans="1:20" ht="9.75" customHeight="1" x14ac:dyDescent="0.2">
      <c r="A106" s="223"/>
      <c r="B106" s="263"/>
      <c r="C106" s="263"/>
      <c r="D106" s="263"/>
      <c r="E106" s="263"/>
      <c r="F106" s="263"/>
      <c r="G106" s="238" t="s">
        <v>249</v>
      </c>
      <c r="H106" s="238"/>
      <c r="I106" s="238"/>
      <c r="J106" s="238"/>
      <c r="K106" s="238"/>
      <c r="L106" s="238"/>
      <c r="M106" s="238"/>
      <c r="N106" s="238"/>
      <c r="O106" s="238"/>
      <c r="P106" s="16"/>
      <c r="Q106" s="116"/>
      <c r="R106" s="116"/>
      <c r="S106" s="116"/>
      <c r="T106" s="135">
        <f t="shared" ref="T106:T112" si="11">P106+Q106+R106+S106</f>
        <v>0</v>
      </c>
    </row>
    <row r="107" spans="1:20" ht="9.75" customHeight="1" x14ac:dyDescent="0.2">
      <c r="A107" s="223"/>
      <c r="B107" s="263"/>
      <c r="C107" s="263"/>
      <c r="D107" s="263"/>
      <c r="E107" s="263"/>
      <c r="F107" s="263"/>
      <c r="G107" s="238" t="s">
        <v>250</v>
      </c>
      <c r="H107" s="238"/>
      <c r="I107" s="238"/>
      <c r="J107" s="238"/>
      <c r="K107" s="238"/>
      <c r="L107" s="238"/>
      <c r="M107" s="238"/>
      <c r="N107" s="238"/>
      <c r="O107" s="238"/>
      <c r="P107" s="16">
        <v>30</v>
      </c>
      <c r="Q107" s="116">
        <v>30</v>
      </c>
      <c r="R107" s="116"/>
      <c r="S107" s="116"/>
      <c r="T107" s="135">
        <f t="shared" si="11"/>
        <v>60</v>
      </c>
    </row>
    <row r="108" spans="1:20" ht="9.75" customHeight="1" x14ac:dyDescent="0.2">
      <c r="A108" s="223"/>
      <c r="B108" s="263"/>
      <c r="C108" s="263"/>
      <c r="D108" s="263"/>
      <c r="E108" s="263"/>
      <c r="F108" s="263"/>
      <c r="G108" s="238" t="s">
        <v>251</v>
      </c>
      <c r="H108" s="238"/>
      <c r="I108" s="238"/>
      <c r="J108" s="238"/>
      <c r="K108" s="238"/>
      <c r="L108" s="238"/>
      <c r="M108" s="238"/>
      <c r="N108" s="238"/>
      <c r="O108" s="238"/>
      <c r="P108" s="16">
        <v>50</v>
      </c>
      <c r="Q108" s="116">
        <v>50</v>
      </c>
      <c r="R108" s="116">
        <v>50</v>
      </c>
      <c r="S108" s="116"/>
      <c r="T108" s="135">
        <f t="shared" si="11"/>
        <v>150</v>
      </c>
    </row>
    <row r="109" spans="1:20" ht="9.75" customHeight="1" x14ac:dyDescent="0.2">
      <c r="A109" s="223"/>
      <c r="B109" s="263"/>
      <c r="C109" s="263"/>
      <c r="D109" s="263"/>
      <c r="E109" s="263"/>
      <c r="F109" s="263"/>
      <c r="G109" s="238" t="s">
        <v>252</v>
      </c>
      <c r="H109" s="238"/>
      <c r="I109" s="238"/>
      <c r="J109" s="238"/>
      <c r="K109" s="238"/>
      <c r="L109" s="238"/>
      <c r="M109" s="238"/>
      <c r="N109" s="238"/>
      <c r="O109" s="238"/>
      <c r="P109" s="16"/>
      <c r="Q109" s="116"/>
      <c r="R109" s="116"/>
      <c r="S109" s="116"/>
      <c r="T109" s="135">
        <f t="shared" si="11"/>
        <v>0</v>
      </c>
    </row>
    <row r="110" spans="1:20" ht="9.75" customHeight="1" x14ac:dyDescent="0.2">
      <c r="A110" s="223"/>
      <c r="B110" s="263"/>
      <c r="C110" s="263"/>
      <c r="D110" s="263"/>
      <c r="E110" s="263"/>
      <c r="F110" s="263"/>
      <c r="G110" s="257" t="s">
        <v>253</v>
      </c>
      <c r="H110" s="257"/>
      <c r="I110" s="257"/>
      <c r="J110" s="257"/>
      <c r="K110" s="257"/>
      <c r="L110" s="257"/>
      <c r="M110" s="257"/>
      <c r="N110" s="257"/>
      <c r="O110" s="257"/>
      <c r="P110" s="16"/>
      <c r="Q110" s="116"/>
      <c r="R110" s="116"/>
      <c r="S110" s="116"/>
      <c r="T110" s="135">
        <f t="shared" si="11"/>
        <v>0</v>
      </c>
    </row>
    <row r="111" spans="1:20" ht="9.75" customHeight="1" x14ac:dyDescent="0.2">
      <c r="A111" s="223"/>
      <c r="B111" s="263"/>
      <c r="C111" s="263"/>
      <c r="D111" s="263"/>
      <c r="E111" s="263"/>
      <c r="F111" s="263"/>
      <c r="G111" s="257" t="s">
        <v>254</v>
      </c>
      <c r="H111" s="257"/>
      <c r="I111" s="257"/>
      <c r="J111" s="257"/>
      <c r="K111" s="257"/>
      <c r="L111" s="257"/>
      <c r="M111" s="257"/>
      <c r="N111" s="257"/>
      <c r="O111" s="257"/>
      <c r="P111" s="16"/>
      <c r="Q111" s="116"/>
      <c r="R111" s="116"/>
      <c r="S111" s="116"/>
      <c r="T111" s="135">
        <f t="shared" si="11"/>
        <v>0</v>
      </c>
    </row>
    <row r="112" spans="1:20" ht="9.75" customHeight="1" x14ac:dyDescent="0.2">
      <c r="A112" s="223"/>
      <c r="B112" s="263"/>
      <c r="C112" s="263"/>
      <c r="D112" s="263"/>
      <c r="E112" s="263"/>
      <c r="F112" s="263"/>
      <c r="G112" s="257" t="s">
        <v>255</v>
      </c>
      <c r="H112" s="257"/>
      <c r="I112" s="257"/>
      <c r="J112" s="257"/>
      <c r="K112" s="257"/>
      <c r="L112" s="257"/>
      <c r="M112" s="257"/>
      <c r="N112" s="257"/>
      <c r="O112" s="257"/>
      <c r="P112" s="16"/>
      <c r="Q112" s="116"/>
      <c r="R112" s="116"/>
      <c r="S112" s="116"/>
      <c r="T112" s="135">
        <f t="shared" si="11"/>
        <v>0</v>
      </c>
    </row>
    <row r="113" spans="1:20" ht="12" customHeight="1" x14ac:dyDescent="0.2">
      <c r="A113" s="19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23"/>
      <c r="M113" s="23"/>
      <c r="N113" s="23"/>
      <c r="O113" s="23"/>
      <c r="P113" s="16"/>
      <c r="Q113" s="116"/>
      <c r="R113" s="136"/>
      <c r="S113" s="136"/>
      <c r="T113" s="138">
        <f>T105+T106+T107+T108+T109+T110+T111+T112</f>
        <v>210</v>
      </c>
    </row>
    <row r="114" spans="1:20" ht="15" customHeight="1" x14ac:dyDescent="0.2">
      <c r="A114" s="223" t="s">
        <v>256</v>
      </c>
      <c r="B114" s="332" t="s">
        <v>257</v>
      </c>
      <c r="C114" s="332"/>
      <c r="D114" s="332"/>
      <c r="E114" s="332"/>
      <c r="F114" s="332"/>
      <c r="G114" s="238" t="s">
        <v>258</v>
      </c>
      <c r="H114" s="238"/>
      <c r="I114" s="238"/>
      <c r="J114" s="238"/>
      <c r="K114" s="238"/>
      <c r="L114" s="238"/>
      <c r="M114" s="238"/>
      <c r="N114" s="238"/>
      <c r="O114" s="238"/>
      <c r="P114" s="16">
        <v>400</v>
      </c>
      <c r="Q114" s="116"/>
      <c r="R114" s="116"/>
      <c r="S114" s="116"/>
      <c r="T114" s="135">
        <f>P114+Q114+R114+S114</f>
        <v>400</v>
      </c>
    </row>
    <row r="115" spans="1:20" ht="15" customHeight="1" x14ac:dyDescent="0.2">
      <c r="A115" s="244"/>
      <c r="B115" s="332"/>
      <c r="C115" s="332"/>
      <c r="D115" s="332"/>
      <c r="E115" s="332"/>
      <c r="F115" s="332"/>
      <c r="G115" s="238" t="s">
        <v>259</v>
      </c>
      <c r="H115" s="238"/>
      <c r="I115" s="238"/>
      <c r="J115" s="238"/>
      <c r="K115" s="238"/>
      <c r="L115" s="238"/>
      <c r="M115" s="238"/>
      <c r="N115" s="238"/>
      <c r="O115" s="238"/>
      <c r="P115" s="16"/>
      <c r="Q115" s="116"/>
      <c r="R115" s="116"/>
      <c r="S115" s="116"/>
      <c r="T115" s="139">
        <f>P115+Q115+R115+S116</f>
        <v>0</v>
      </c>
    </row>
    <row r="116" spans="1:20" ht="12" customHeight="1" x14ac:dyDescent="0.2">
      <c r="A116" s="87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109"/>
      <c r="M116" s="109"/>
      <c r="N116" s="109"/>
      <c r="O116" s="109"/>
      <c r="P116" s="110"/>
      <c r="Q116" s="140"/>
      <c r="R116" s="141"/>
      <c r="S116" s="142"/>
      <c r="T116" s="143">
        <f>T114+T115</f>
        <v>400</v>
      </c>
    </row>
    <row r="117" spans="1:20" ht="22.5" customHeight="1" x14ac:dyDescent="0.2">
      <c r="A117" s="258" t="s">
        <v>260</v>
      </c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60"/>
      <c r="T117" s="144">
        <f>T104+T113+T116</f>
        <v>710</v>
      </c>
    </row>
    <row r="118" spans="1:20" ht="15.75" customHeight="1" x14ac:dyDescent="0.2">
      <c r="A118" s="333" t="s">
        <v>261</v>
      </c>
      <c r="B118" s="261"/>
      <c r="C118" s="261"/>
      <c r="D118" s="261" t="s">
        <v>14</v>
      </c>
      <c r="E118" s="261"/>
      <c r="F118" s="261"/>
      <c r="G118" s="261"/>
      <c r="H118" s="261"/>
      <c r="I118" s="261"/>
      <c r="J118" s="261"/>
      <c r="K118" s="261"/>
      <c r="L118" s="261" t="s">
        <v>185</v>
      </c>
      <c r="M118" s="261"/>
      <c r="N118" s="226" t="s">
        <v>186</v>
      </c>
      <c r="O118" s="226"/>
      <c r="P118" s="240" t="s">
        <v>187</v>
      </c>
      <c r="Q118" s="240"/>
      <c r="R118" s="240" t="s">
        <v>188</v>
      </c>
      <c r="S118" s="240"/>
      <c r="T118" s="316" t="s">
        <v>165</v>
      </c>
    </row>
    <row r="119" spans="1:20" ht="18.75" customHeight="1" x14ac:dyDescent="0.2">
      <c r="A119" s="334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99" t="s">
        <v>216</v>
      </c>
      <c r="M119" s="99" t="s">
        <v>217</v>
      </c>
      <c r="N119" s="99" t="s">
        <v>216</v>
      </c>
      <c r="O119" s="99" t="s">
        <v>217</v>
      </c>
      <c r="P119" s="99" t="s">
        <v>216</v>
      </c>
      <c r="Q119" s="99" t="s">
        <v>217</v>
      </c>
      <c r="R119" s="99" t="s">
        <v>216</v>
      </c>
      <c r="S119" s="99" t="s">
        <v>217</v>
      </c>
      <c r="T119" s="315"/>
    </row>
    <row r="120" spans="1:20" ht="40.5" customHeight="1" x14ac:dyDescent="0.2">
      <c r="A120" s="19" t="s">
        <v>238</v>
      </c>
      <c r="B120" s="270" t="s">
        <v>262</v>
      </c>
      <c r="C120" s="271"/>
      <c r="D120" s="272" t="s">
        <v>263</v>
      </c>
      <c r="E120" s="262"/>
      <c r="F120" s="262"/>
      <c r="G120" s="262"/>
      <c r="H120" s="262"/>
      <c r="I120" s="262"/>
      <c r="J120" s="262"/>
      <c r="K120" s="262"/>
      <c r="L120" s="111">
        <v>20</v>
      </c>
      <c r="M120" s="111"/>
      <c r="N120" s="111"/>
      <c r="O120" s="111"/>
      <c r="P120" s="111"/>
      <c r="Q120" s="116"/>
      <c r="R120" s="116"/>
      <c r="S120" s="116"/>
      <c r="T120" s="135">
        <f>L120+M120+N120+O120+P120+Q120+R120+S120</f>
        <v>20</v>
      </c>
    </row>
    <row r="121" spans="1:20" ht="15.75" customHeight="1" x14ac:dyDescent="0.2">
      <c r="A121" s="273" t="s">
        <v>264</v>
      </c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89"/>
      <c r="T121" s="135">
        <f>L120+M120+N120+O120+P120+Q120+R120+S120</f>
        <v>20</v>
      </c>
    </row>
    <row r="122" spans="1:20" ht="17.25" customHeight="1" x14ac:dyDescent="0.2">
      <c r="A122" s="90" t="s">
        <v>265</v>
      </c>
      <c r="B122" s="91"/>
      <c r="C122" s="92"/>
      <c r="D122" s="93"/>
      <c r="E122" s="275" t="s">
        <v>184</v>
      </c>
      <c r="F122" s="276"/>
      <c r="G122" s="276"/>
      <c r="H122" s="276"/>
      <c r="I122" s="276"/>
      <c r="J122" s="276"/>
      <c r="K122" s="276"/>
      <c r="L122" s="276"/>
      <c r="M122" s="276"/>
      <c r="N122" s="276"/>
      <c r="O122" s="277"/>
      <c r="P122" s="49" t="s">
        <v>185</v>
      </c>
      <c r="Q122" s="49" t="s">
        <v>186</v>
      </c>
      <c r="R122" s="49" t="s">
        <v>187</v>
      </c>
      <c r="S122" s="49" t="s">
        <v>188</v>
      </c>
      <c r="T122" s="68" t="s">
        <v>165</v>
      </c>
    </row>
    <row r="123" spans="1:20" ht="12.75" customHeight="1" x14ac:dyDescent="0.2">
      <c r="A123" s="282" t="s">
        <v>71</v>
      </c>
      <c r="B123" s="329" t="s">
        <v>266</v>
      </c>
      <c r="C123" s="330"/>
      <c r="D123" s="330"/>
      <c r="E123" s="278" t="s">
        <v>219</v>
      </c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112"/>
      <c r="Q123" s="145"/>
      <c r="R123" s="145"/>
      <c r="S123" s="145"/>
      <c r="T123" s="146"/>
    </row>
    <row r="124" spans="1:20" ht="12.75" customHeight="1" x14ac:dyDescent="0.2">
      <c r="A124" s="223"/>
      <c r="B124" s="331"/>
      <c r="C124" s="331"/>
      <c r="D124" s="331"/>
      <c r="E124" s="209" t="s">
        <v>267</v>
      </c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98"/>
      <c r="Q124" s="51"/>
      <c r="R124" s="51"/>
      <c r="S124" s="51"/>
      <c r="T124" s="74"/>
    </row>
    <row r="125" spans="1:20" ht="12.75" customHeight="1" x14ac:dyDescent="0.2">
      <c r="A125" s="223"/>
      <c r="B125" s="331"/>
      <c r="C125" s="331"/>
      <c r="D125" s="331"/>
      <c r="E125" s="209" t="s">
        <v>268</v>
      </c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98"/>
      <c r="Q125" s="51"/>
      <c r="R125" s="51"/>
      <c r="S125" s="51"/>
      <c r="T125" s="74"/>
    </row>
    <row r="126" spans="1:20" ht="21" customHeight="1" x14ac:dyDescent="0.2">
      <c r="A126" s="223"/>
      <c r="B126" s="331"/>
      <c r="C126" s="331"/>
      <c r="D126" s="331"/>
      <c r="E126" s="209" t="s">
        <v>269</v>
      </c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98"/>
      <c r="Q126" s="51"/>
      <c r="R126" s="51"/>
      <c r="S126" s="51"/>
      <c r="T126" s="74"/>
    </row>
    <row r="127" spans="1:20" ht="17.25" customHeight="1" x14ac:dyDescent="0.2">
      <c r="A127" s="76"/>
      <c r="B127" s="94"/>
      <c r="C127" s="94"/>
      <c r="D127" s="94"/>
      <c r="E127" s="81"/>
      <c r="F127" s="81"/>
      <c r="G127" s="81"/>
      <c r="H127" s="81"/>
      <c r="I127" s="81"/>
      <c r="J127" s="81"/>
      <c r="K127" s="81"/>
      <c r="L127" s="113"/>
      <c r="M127" s="113"/>
      <c r="N127" s="113"/>
      <c r="O127" s="113"/>
      <c r="P127" s="97">
        <f>P123+P124+P125+P126</f>
        <v>0</v>
      </c>
      <c r="Q127" s="97">
        <f>Q123+Q124+Q125+Q126</f>
        <v>0</v>
      </c>
      <c r="R127" s="97">
        <f>R123+R124+R125+R126</f>
        <v>0</v>
      </c>
      <c r="S127" s="97">
        <f>S123+S124+S125+S126</f>
        <v>0</v>
      </c>
      <c r="T127" s="147">
        <f>P127+Q127+R127+S127</f>
        <v>0</v>
      </c>
    </row>
    <row r="128" spans="1:20" ht="27.75" customHeight="1" x14ac:dyDescent="0.2">
      <c r="A128" s="95"/>
      <c r="B128" s="279" t="s">
        <v>270</v>
      </c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1"/>
      <c r="Q128" s="281"/>
      <c r="R128" s="281"/>
      <c r="S128" s="148"/>
      <c r="T128" s="147">
        <f>P127:T127</f>
        <v>0</v>
      </c>
    </row>
    <row r="129" spans="1:20" ht="51.75" customHeight="1" x14ac:dyDescent="0.2">
      <c r="A129" s="283" t="s">
        <v>271</v>
      </c>
      <c r="B129" s="284"/>
      <c r="C129" s="284"/>
      <c r="D129" s="284"/>
      <c r="E129" s="264" t="s">
        <v>272</v>
      </c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151">
        <v>50</v>
      </c>
      <c r="Q129" s="151">
        <v>50</v>
      </c>
      <c r="R129" s="151">
        <v>50</v>
      </c>
      <c r="S129" s="151"/>
      <c r="T129" s="154">
        <f>P129+Q129+R129+S129</f>
        <v>150</v>
      </c>
    </row>
    <row r="130" spans="1:20" ht="22.5" customHeight="1" x14ac:dyDescent="0.2">
      <c r="A130" s="265" t="s">
        <v>273</v>
      </c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155">
        <f>T74+T98+T117+T121+T128</f>
        <v>1292.5</v>
      </c>
    </row>
    <row r="131" spans="1:20" ht="23.25" customHeight="1" x14ac:dyDescent="0.2">
      <c r="A131" s="267" t="s">
        <v>274</v>
      </c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3"/>
      <c r="T131" s="156"/>
    </row>
    <row r="132" spans="1:20" ht="32.25" customHeight="1" x14ac:dyDescent="0.2">
      <c r="A132" s="327" t="s">
        <v>275</v>
      </c>
      <c r="B132" s="220"/>
      <c r="C132" s="220"/>
      <c r="D132" s="220" t="s">
        <v>184</v>
      </c>
      <c r="E132" s="220"/>
      <c r="F132" s="220"/>
      <c r="G132" s="220"/>
      <c r="H132" s="220"/>
      <c r="I132" s="220"/>
      <c r="J132" s="220"/>
      <c r="K132" s="220"/>
      <c r="L132" s="220" t="s">
        <v>185</v>
      </c>
      <c r="M132" s="220"/>
      <c r="N132" s="226" t="s">
        <v>186</v>
      </c>
      <c r="O132" s="226"/>
      <c r="P132" s="240" t="s">
        <v>187</v>
      </c>
      <c r="Q132" s="240"/>
      <c r="R132" s="240" t="s">
        <v>188</v>
      </c>
      <c r="S132" s="240"/>
      <c r="T132" s="316" t="s">
        <v>165</v>
      </c>
    </row>
    <row r="133" spans="1:20" ht="23.25" customHeight="1" x14ac:dyDescent="0.2">
      <c r="A133" s="328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152" t="s">
        <v>216</v>
      </c>
      <c r="M133" s="152" t="s">
        <v>217</v>
      </c>
      <c r="N133" s="152" t="s">
        <v>216</v>
      </c>
      <c r="O133" s="152" t="s">
        <v>217</v>
      </c>
      <c r="P133" s="152" t="s">
        <v>216</v>
      </c>
      <c r="Q133" s="152" t="s">
        <v>217</v>
      </c>
      <c r="R133" s="152" t="s">
        <v>216</v>
      </c>
      <c r="S133" s="152" t="s">
        <v>217</v>
      </c>
      <c r="T133" s="317"/>
    </row>
    <row r="134" spans="1:20" ht="18.75" customHeight="1" x14ac:dyDescent="0.2">
      <c r="A134" s="243" t="s">
        <v>276</v>
      </c>
      <c r="B134" s="324" t="s">
        <v>277</v>
      </c>
      <c r="C134" s="325"/>
      <c r="D134" s="269" t="s">
        <v>240</v>
      </c>
      <c r="E134" s="269"/>
      <c r="F134" s="269"/>
      <c r="G134" s="269"/>
      <c r="H134" s="269"/>
      <c r="I134" s="269"/>
      <c r="J134" s="269"/>
      <c r="K134" s="269"/>
      <c r="L134" s="102">
        <v>20</v>
      </c>
      <c r="M134" s="102"/>
      <c r="N134" s="102"/>
      <c r="O134" s="102"/>
      <c r="P134" s="102"/>
      <c r="Q134" s="126"/>
      <c r="R134" s="126"/>
      <c r="S134" s="126"/>
      <c r="T134" s="128">
        <f>L134+M134+N134+O134+P134+Q134+R134+S134</f>
        <v>20</v>
      </c>
    </row>
    <row r="135" spans="1:20" ht="18.75" customHeight="1" x14ac:dyDescent="0.2">
      <c r="A135" s="244"/>
      <c r="B135" s="326"/>
      <c r="C135" s="326"/>
      <c r="D135" s="286" t="s">
        <v>278</v>
      </c>
      <c r="E135" s="286"/>
      <c r="F135" s="286"/>
      <c r="G135" s="286"/>
      <c r="H135" s="286"/>
      <c r="I135" s="286"/>
      <c r="J135" s="286"/>
      <c r="K135" s="286"/>
      <c r="L135" s="104"/>
      <c r="M135" s="104"/>
      <c r="N135" s="96"/>
      <c r="O135" s="96"/>
      <c r="P135" s="96"/>
      <c r="Q135" s="118"/>
      <c r="R135" s="118"/>
      <c r="S135" s="118"/>
      <c r="T135" s="128">
        <f>L135+M135+N135+O135+P135+Q135+R135+S135</f>
        <v>0</v>
      </c>
    </row>
    <row r="136" spans="1:20" ht="4.5" customHeight="1" x14ac:dyDescent="0.2">
      <c r="A136" s="76"/>
      <c r="B136" s="94"/>
      <c r="C136" s="94"/>
      <c r="D136" s="81"/>
      <c r="E136" s="81"/>
      <c r="F136" s="81"/>
      <c r="G136" s="81"/>
      <c r="H136" s="81"/>
      <c r="I136" s="81"/>
      <c r="J136" s="81"/>
      <c r="K136" s="81"/>
      <c r="L136" s="153"/>
      <c r="M136" s="153"/>
      <c r="N136" s="97"/>
      <c r="O136" s="97"/>
      <c r="P136" s="97"/>
      <c r="Q136" s="120"/>
      <c r="R136" s="120"/>
      <c r="S136" s="120"/>
      <c r="T136" s="157">
        <f>T134+T135</f>
        <v>20</v>
      </c>
    </row>
    <row r="137" spans="1:20" ht="4.5" customHeight="1" x14ac:dyDescent="0.2">
      <c r="A137" s="87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110"/>
      <c r="M137" s="110"/>
      <c r="N137" s="110"/>
      <c r="O137" s="110"/>
      <c r="P137" s="110"/>
      <c r="Q137" s="140"/>
      <c r="R137" s="140"/>
      <c r="S137" s="140"/>
      <c r="T137" s="158" t="e">
        <f>#REF!+#REF!+#REF!</f>
        <v>#REF!</v>
      </c>
    </row>
    <row r="138" spans="1:20" ht="22.5" customHeight="1" x14ac:dyDescent="0.2">
      <c r="A138" s="258" t="s">
        <v>279</v>
      </c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87"/>
      <c r="T138" s="159">
        <f>T136</f>
        <v>20</v>
      </c>
    </row>
    <row r="139" spans="1:20" ht="20.25" customHeight="1" x14ac:dyDescent="0.2">
      <c r="A139" s="288" t="s">
        <v>280</v>
      </c>
      <c r="B139" s="289"/>
      <c r="C139" s="289"/>
      <c r="D139" s="289"/>
      <c r="E139" s="289"/>
      <c r="F139" s="289"/>
      <c r="G139" s="289" t="s">
        <v>184</v>
      </c>
      <c r="H139" s="289"/>
      <c r="I139" s="289"/>
      <c r="J139" s="289"/>
      <c r="K139" s="289"/>
      <c r="L139" s="289"/>
      <c r="M139" s="289"/>
      <c r="N139" s="289"/>
      <c r="O139" s="289"/>
      <c r="P139" s="50" t="s">
        <v>185</v>
      </c>
      <c r="Q139" s="50" t="s">
        <v>186</v>
      </c>
      <c r="R139" s="50" t="s">
        <v>187</v>
      </c>
      <c r="S139" s="50" t="s">
        <v>188</v>
      </c>
      <c r="T139" s="69" t="s">
        <v>165</v>
      </c>
    </row>
    <row r="140" spans="1:20" x14ac:dyDescent="0.2">
      <c r="A140" s="19" t="s">
        <v>276</v>
      </c>
      <c r="B140" s="290" t="s">
        <v>126</v>
      </c>
      <c r="C140" s="290"/>
      <c r="D140" s="290"/>
      <c r="E140" s="290"/>
      <c r="F140" s="290"/>
      <c r="G140" s="257" t="s">
        <v>281</v>
      </c>
      <c r="H140" s="257"/>
      <c r="I140" s="257"/>
      <c r="J140" s="257"/>
      <c r="K140" s="257"/>
      <c r="L140" s="257"/>
      <c r="M140" s="257"/>
      <c r="N140" s="257"/>
      <c r="O140" s="257"/>
      <c r="P140" s="16">
        <v>40</v>
      </c>
      <c r="Q140" s="116"/>
      <c r="R140" s="116"/>
      <c r="S140" s="116"/>
      <c r="T140" s="128">
        <f>P140+Q140+R140+S140</f>
        <v>40</v>
      </c>
    </row>
    <row r="141" spans="1:20" ht="25.5" customHeight="1" x14ac:dyDescent="0.2">
      <c r="A141" s="19" t="s">
        <v>282</v>
      </c>
      <c r="B141" s="291" t="s">
        <v>129</v>
      </c>
      <c r="C141" s="291"/>
      <c r="D141" s="291"/>
      <c r="E141" s="291"/>
      <c r="F141" s="291"/>
      <c r="G141" s="209" t="s">
        <v>281</v>
      </c>
      <c r="H141" s="209"/>
      <c r="I141" s="209"/>
      <c r="J141" s="209"/>
      <c r="K141" s="209"/>
      <c r="L141" s="209"/>
      <c r="M141" s="209"/>
      <c r="N141" s="209"/>
      <c r="O141" s="209"/>
      <c r="P141" s="16">
        <v>10</v>
      </c>
      <c r="Q141" s="116"/>
      <c r="R141" s="116"/>
      <c r="S141" s="116"/>
      <c r="T141" s="160">
        <f>P141+Q141+R141+S141</f>
        <v>10</v>
      </c>
    </row>
    <row r="142" spans="1:20" ht="25.5" customHeight="1" x14ac:dyDescent="0.2">
      <c r="A142" s="19" t="s">
        <v>283</v>
      </c>
      <c r="B142" s="224" t="s">
        <v>131</v>
      </c>
      <c r="C142" s="224"/>
      <c r="D142" s="224"/>
      <c r="E142" s="224"/>
      <c r="F142" s="224"/>
      <c r="G142" s="209" t="s">
        <v>281</v>
      </c>
      <c r="H142" s="209"/>
      <c r="I142" s="209"/>
      <c r="J142" s="209"/>
      <c r="K142" s="209"/>
      <c r="L142" s="209"/>
      <c r="M142" s="209"/>
      <c r="N142" s="209"/>
      <c r="O142" s="209"/>
      <c r="P142" s="16">
        <v>40</v>
      </c>
      <c r="Q142" s="116"/>
      <c r="R142" s="116"/>
      <c r="S142" s="116"/>
      <c r="T142" s="160">
        <f>P142+Q142+R142+S142</f>
        <v>40</v>
      </c>
    </row>
    <row r="143" spans="1:20" ht="25.5" customHeight="1" x14ac:dyDescent="0.2">
      <c r="A143" s="19" t="s">
        <v>284</v>
      </c>
      <c r="B143" s="224" t="s">
        <v>133</v>
      </c>
      <c r="C143" s="224"/>
      <c r="D143" s="224"/>
      <c r="E143" s="224"/>
      <c r="F143" s="224"/>
      <c r="G143" s="209" t="s">
        <v>281</v>
      </c>
      <c r="H143" s="209"/>
      <c r="I143" s="209"/>
      <c r="J143" s="209"/>
      <c r="K143" s="209"/>
      <c r="L143" s="209"/>
      <c r="M143" s="209"/>
      <c r="N143" s="209"/>
      <c r="O143" s="209"/>
      <c r="P143" s="16">
        <v>40</v>
      </c>
      <c r="Q143" s="116"/>
      <c r="R143" s="116"/>
      <c r="S143" s="116"/>
      <c r="T143" s="160">
        <f t="shared" ref="T143:T148" si="12">P143+Q143+R143+S143</f>
        <v>40</v>
      </c>
    </row>
    <row r="144" spans="1:20" ht="25.5" customHeight="1" x14ac:dyDescent="0.2">
      <c r="A144" s="19" t="s">
        <v>285</v>
      </c>
      <c r="B144" s="291" t="s">
        <v>135</v>
      </c>
      <c r="C144" s="291"/>
      <c r="D144" s="291"/>
      <c r="E144" s="291"/>
      <c r="F144" s="291"/>
      <c r="G144" s="209" t="s">
        <v>281</v>
      </c>
      <c r="H144" s="209"/>
      <c r="I144" s="209"/>
      <c r="J144" s="209"/>
      <c r="K144" s="209"/>
      <c r="L144" s="209"/>
      <c r="M144" s="209"/>
      <c r="N144" s="209"/>
      <c r="O144" s="209"/>
      <c r="P144" s="16">
        <v>10</v>
      </c>
      <c r="Q144" s="116"/>
      <c r="R144" s="116"/>
      <c r="S144" s="116"/>
      <c r="T144" s="160">
        <f t="shared" si="12"/>
        <v>10</v>
      </c>
    </row>
    <row r="145" spans="1:20" ht="15" customHeight="1" x14ac:dyDescent="0.2">
      <c r="A145" s="223" t="s">
        <v>286</v>
      </c>
      <c r="B145" s="224" t="s">
        <v>287</v>
      </c>
      <c r="C145" s="224"/>
      <c r="D145" s="224"/>
      <c r="E145" s="224"/>
      <c r="F145" s="224"/>
      <c r="G145" s="257" t="s">
        <v>288</v>
      </c>
      <c r="H145" s="257"/>
      <c r="I145" s="257"/>
      <c r="J145" s="257"/>
      <c r="K145" s="257"/>
      <c r="L145" s="257"/>
      <c r="M145" s="257"/>
      <c r="N145" s="257"/>
      <c r="O145" s="257"/>
      <c r="P145" s="16"/>
      <c r="Q145" s="116"/>
      <c r="R145" s="116"/>
      <c r="S145" s="116"/>
      <c r="T145" s="160">
        <f t="shared" si="12"/>
        <v>0</v>
      </c>
    </row>
    <row r="146" spans="1:20" ht="15" customHeight="1" x14ac:dyDescent="0.2">
      <c r="A146" s="223"/>
      <c r="B146" s="224"/>
      <c r="C146" s="224"/>
      <c r="D146" s="224"/>
      <c r="E146" s="224"/>
      <c r="F146" s="224"/>
      <c r="G146" s="257" t="s">
        <v>289</v>
      </c>
      <c r="H146" s="257"/>
      <c r="I146" s="257"/>
      <c r="J146" s="257"/>
      <c r="K146" s="257"/>
      <c r="L146" s="257"/>
      <c r="M146" s="257"/>
      <c r="N146" s="257"/>
      <c r="O146" s="257"/>
      <c r="P146" s="16"/>
      <c r="Q146" s="116"/>
      <c r="R146" s="116"/>
      <c r="S146" s="116"/>
      <c r="T146" s="160">
        <f t="shared" si="12"/>
        <v>0</v>
      </c>
    </row>
    <row r="147" spans="1:20" ht="15" customHeight="1" x14ac:dyDescent="0.2">
      <c r="A147" s="223"/>
      <c r="B147" s="224"/>
      <c r="C147" s="224"/>
      <c r="D147" s="224"/>
      <c r="E147" s="224"/>
      <c r="F147" s="224"/>
      <c r="G147" s="257" t="s">
        <v>290</v>
      </c>
      <c r="H147" s="257"/>
      <c r="I147" s="257"/>
      <c r="J147" s="257"/>
      <c r="K147" s="257"/>
      <c r="L147" s="257"/>
      <c r="M147" s="257"/>
      <c r="N147" s="257"/>
      <c r="O147" s="257"/>
      <c r="P147" s="16"/>
      <c r="Q147" s="116"/>
      <c r="R147" s="116"/>
      <c r="S147" s="116"/>
      <c r="T147" s="160">
        <f t="shared" si="12"/>
        <v>0</v>
      </c>
    </row>
    <row r="148" spans="1:20" ht="15" customHeight="1" x14ac:dyDescent="0.2">
      <c r="A148" s="223"/>
      <c r="B148" s="224"/>
      <c r="C148" s="224"/>
      <c r="D148" s="224"/>
      <c r="E148" s="224"/>
      <c r="F148" s="224"/>
      <c r="G148" s="257" t="s">
        <v>291</v>
      </c>
      <c r="H148" s="257"/>
      <c r="I148" s="257"/>
      <c r="J148" s="257"/>
      <c r="K148" s="257"/>
      <c r="L148" s="257"/>
      <c r="M148" s="257"/>
      <c r="N148" s="257"/>
      <c r="O148" s="257"/>
      <c r="P148" s="16">
        <v>50</v>
      </c>
      <c r="Q148" s="116"/>
      <c r="R148" s="116"/>
      <c r="S148" s="116"/>
      <c r="T148" s="160">
        <f t="shared" si="12"/>
        <v>50</v>
      </c>
    </row>
    <row r="149" spans="1:20" ht="10.5" customHeight="1" x14ac:dyDescent="0.2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3"/>
      <c r="M149" s="23"/>
      <c r="N149" s="23"/>
      <c r="O149" s="23"/>
      <c r="P149" s="16"/>
      <c r="Q149" s="116"/>
      <c r="R149" s="116"/>
      <c r="S149" s="116"/>
      <c r="T149" s="160"/>
    </row>
    <row r="150" spans="1:20" ht="21.75" customHeight="1" x14ac:dyDescent="0.2">
      <c r="A150" s="149" t="s">
        <v>292</v>
      </c>
      <c r="B150" s="285" t="s">
        <v>143</v>
      </c>
      <c r="C150" s="285"/>
      <c r="D150" s="285"/>
      <c r="E150" s="285"/>
      <c r="F150" s="285"/>
      <c r="G150" s="286" t="s">
        <v>281</v>
      </c>
      <c r="H150" s="286"/>
      <c r="I150" s="286"/>
      <c r="J150" s="286"/>
      <c r="K150" s="286"/>
      <c r="L150" s="286"/>
      <c r="M150" s="286"/>
      <c r="N150" s="286"/>
      <c r="O150" s="286"/>
      <c r="P150" s="96">
        <v>30</v>
      </c>
      <c r="Q150" s="118"/>
      <c r="R150" s="118"/>
      <c r="S150" s="118"/>
      <c r="T150" s="161">
        <f>P150+Q150+R150+S150</f>
        <v>30</v>
      </c>
    </row>
    <row r="151" spans="1:20" ht="21" customHeight="1" x14ac:dyDescent="0.2">
      <c r="A151" s="335" t="s">
        <v>293</v>
      </c>
      <c r="B151" s="336"/>
      <c r="C151" s="336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150"/>
      <c r="T151" s="162">
        <f>T140+T141+T142+T143+T144+T145+T146+T147+T148+T150</f>
        <v>220</v>
      </c>
    </row>
    <row r="152" spans="1:20" x14ac:dyDescent="0.2">
      <c r="A152" s="337" t="s">
        <v>294</v>
      </c>
      <c r="B152" s="338"/>
      <c r="C152" s="338"/>
      <c r="D152" s="338"/>
      <c r="E152" s="338"/>
      <c r="F152" s="338"/>
      <c r="G152" s="339" t="s">
        <v>184</v>
      </c>
      <c r="H152" s="339"/>
      <c r="I152" s="339"/>
      <c r="J152" s="339"/>
      <c r="K152" s="339"/>
      <c r="L152" s="339"/>
      <c r="M152" s="339"/>
      <c r="N152" s="339"/>
      <c r="O152" s="339"/>
      <c r="P152" s="49" t="s">
        <v>185</v>
      </c>
      <c r="Q152" s="49" t="s">
        <v>186</v>
      </c>
      <c r="R152" s="49" t="s">
        <v>187</v>
      </c>
      <c r="S152" s="49" t="s">
        <v>188</v>
      </c>
      <c r="T152" s="163" t="s">
        <v>171</v>
      </c>
    </row>
    <row r="153" spans="1:20" ht="15.75" customHeight="1" x14ac:dyDescent="0.2">
      <c r="A153" s="25" t="s">
        <v>276</v>
      </c>
      <c r="B153" s="340" t="s">
        <v>145</v>
      </c>
      <c r="C153" s="341"/>
      <c r="D153" s="341"/>
      <c r="E153" s="341"/>
      <c r="F153" s="342"/>
      <c r="G153" s="269" t="s">
        <v>295</v>
      </c>
      <c r="H153" s="269"/>
      <c r="I153" s="269"/>
      <c r="J153" s="269"/>
      <c r="K153" s="269"/>
      <c r="L153" s="269"/>
      <c r="M153" s="269"/>
      <c r="N153" s="269"/>
      <c r="O153" s="269"/>
      <c r="P153" s="102">
        <v>50</v>
      </c>
      <c r="Q153" s="126"/>
      <c r="R153" s="126"/>
      <c r="S153" s="126"/>
      <c r="T153" s="128">
        <f>P153+Q153+R153+S153</f>
        <v>50</v>
      </c>
    </row>
    <row r="154" spans="1:20" ht="19.5" customHeight="1" x14ac:dyDescent="0.2">
      <c r="A154" s="28" t="s">
        <v>282</v>
      </c>
      <c r="B154" s="343" t="s">
        <v>148</v>
      </c>
      <c r="C154" s="343"/>
      <c r="D154" s="343"/>
      <c r="E154" s="343"/>
      <c r="F154" s="343"/>
      <c r="G154" s="344" t="s">
        <v>296</v>
      </c>
      <c r="H154" s="344"/>
      <c r="I154" s="344"/>
      <c r="J154" s="344"/>
      <c r="K154" s="344"/>
      <c r="L154" s="344"/>
      <c r="M154" s="344"/>
      <c r="N154" s="344"/>
      <c r="O154" s="344"/>
      <c r="P154" s="96">
        <v>100</v>
      </c>
      <c r="Q154" s="118"/>
      <c r="R154" s="118"/>
      <c r="S154" s="118"/>
      <c r="T154" s="130">
        <f t="shared" ref="T154" si="13">P154+Q154+R154+S154</f>
        <v>100</v>
      </c>
    </row>
    <row r="155" spans="1:20" ht="15.75" customHeight="1" x14ac:dyDescent="0.2">
      <c r="A155" s="345" t="s">
        <v>297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162">
        <f>T153+T154</f>
        <v>150</v>
      </c>
    </row>
    <row r="156" spans="1:20" ht="15.75" customHeight="1" x14ac:dyDescent="0.2">
      <c r="A156" s="347" t="s">
        <v>298</v>
      </c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135">
        <f>T138+T151++T155</f>
        <v>390</v>
      </c>
    </row>
    <row r="157" spans="1:20" ht="15.75" customHeight="1" x14ac:dyDescent="0.2">
      <c r="A157" s="318" t="s">
        <v>152</v>
      </c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8">
        <f>T35+T130+T156</f>
        <v>1804.5</v>
      </c>
      <c r="T157" s="322"/>
    </row>
    <row r="158" spans="1:20" ht="21.75" customHeight="1" x14ac:dyDescent="0.2">
      <c r="A158" s="320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0"/>
      <c r="T158" s="323"/>
    </row>
  </sheetData>
  <mergeCells count="263">
    <mergeCell ref="B94:C95"/>
    <mergeCell ref="D94:K95"/>
    <mergeCell ref="B89:C92"/>
    <mergeCell ref="B83:C87"/>
    <mergeCell ref="B77:C81"/>
    <mergeCell ref="A75:C76"/>
    <mergeCell ref="D75:K76"/>
    <mergeCell ref="B69:I72"/>
    <mergeCell ref="B25:B26"/>
    <mergeCell ref="B27:B28"/>
    <mergeCell ref="B29:B30"/>
    <mergeCell ref="B31:B33"/>
    <mergeCell ref="J51:O51"/>
    <mergeCell ref="J52:O52"/>
    <mergeCell ref="J53:O53"/>
    <mergeCell ref="J54:O54"/>
    <mergeCell ref="A83:A87"/>
    <mergeCell ref="A89:A92"/>
    <mergeCell ref="T132:T133"/>
    <mergeCell ref="A157:R158"/>
    <mergeCell ref="S157:T158"/>
    <mergeCell ref="B145:F148"/>
    <mergeCell ref="B134:C135"/>
    <mergeCell ref="A132:C133"/>
    <mergeCell ref="D132:K133"/>
    <mergeCell ref="B123:D126"/>
    <mergeCell ref="B114:F115"/>
    <mergeCell ref="A118:C119"/>
    <mergeCell ref="D118:K119"/>
    <mergeCell ref="A151:R151"/>
    <mergeCell ref="A152:F152"/>
    <mergeCell ref="G152:O152"/>
    <mergeCell ref="B153:F153"/>
    <mergeCell ref="G153:O153"/>
    <mergeCell ref="B154:F154"/>
    <mergeCell ref="G154:O154"/>
    <mergeCell ref="A155:S155"/>
    <mergeCell ref="A156:S156"/>
    <mergeCell ref="B143:F143"/>
    <mergeCell ref="G143:O143"/>
    <mergeCell ref="B144:F144"/>
    <mergeCell ref="G144:O144"/>
    <mergeCell ref="T17:T18"/>
    <mergeCell ref="T19:T21"/>
    <mergeCell ref="T23:T24"/>
    <mergeCell ref="T25:T26"/>
    <mergeCell ref="T27:T28"/>
    <mergeCell ref="T29:T30"/>
    <mergeCell ref="T31:T33"/>
    <mergeCell ref="T75:T76"/>
    <mergeCell ref="T118:T119"/>
    <mergeCell ref="A94:A95"/>
    <mergeCell ref="A101:A103"/>
    <mergeCell ref="G101:O101"/>
    <mergeCell ref="G102:O102"/>
    <mergeCell ref="G103:O103"/>
    <mergeCell ref="D80:K80"/>
    <mergeCell ref="D81:K81"/>
    <mergeCell ref="D83:K83"/>
    <mergeCell ref="D84:K84"/>
    <mergeCell ref="D85:K85"/>
    <mergeCell ref="D86:K86"/>
    <mergeCell ref="D87:K87"/>
    <mergeCell ref="D89:K89"/>
    <mergeCell ref="D90:K90"/>
    <mergeCell ref="D91:K91"/>
    <mergeCell ref="D92:K92"/>
    <mergeCell ref="B97:C97"/>
    <mergeCell ref="D97:K97"/>
    <mergeCell ref="A98:R98"/>
    <mergeCell ref="A99:F99"/>
    <mergeCell ref="G99:O99"/>
    <mergeCell ref="B100:F100"/>
    <mergeCell ref="G100:O100"/>
    <mergeCell ref="B101:F103"/>
    <mergeCell ref="A25:A26"/>
    <mergeCell ref="A27:A28"/>
    <mergeCell ref="A29:A30"/>
    <mergeCell ref="A31:A33"/>
    <mergeCell ref="A38:A43"/>
    <mergeCell ref="A45:A49"/>
    <mergeCell ref="A51:A55"/>
    <mergeCell ref="A57:A61"/>
    <mergeCell ref="A63:A67"/>
    <mergeCell ref="G145:O145"/>
    <mergeCell ref="G146:O146"/>
    <mergeCell ref="G147:O147"/>
    <mergeCell ref="G148:O148"/>
    <mergeCell ref="B150:F150"/>
    <mergeCell ref="G150:O150"/>
    <mergeCell ref="D135:K135"/>
    <mergeCell ref="A138:S138"/>
    <mergeCell ref="A139:F139"/>
    <mergeCell ref="G139:O139"/>
    <mergeCell ref="B140:F140"/>
    <mergeCell ref="G140:O140"/>
    <mergeCell ref="B141:F141"/>
    <mergeCell ref="G141:O141"/>
    <mergeCell ref="B142:F142"/>
    <mergeCell ref="G142:O142"/>
    <mergeCell ref="A134:A135"/>
    <mergeCell ref="A145:A148"/>
    <mergeCell ref="E129:O129"/>
    <mergeCell ref="A130:S130"/>
    <mergeCell ref="A131:R131"/>
    <mergeCell ref="L132:M132"/>
    <mergeCell ref="N132:O132"/>
    <mergeCell ref="P132:Q132"/>
    <mergeCell ref="R132:S132"/>
    <mergeCell ref="D134:K134"/>
    <mergeCell ref="B120:C120"/>
    <mergeCell ref="D120:K120"/>
    <mergeCell ref="A121:R121"/>
    <mergeCell ref="E122:O122"/>
    <mergeCell ref="E123:O123"/>
    <mergeCell ref="E124:O124"/>
    <mergeCell ref="E125:O125"/>
    <mergeCell ref="E126:O126"/>
    <mergeCell ref="B128:R128"/>
    <mergeCell ref="A123:A126"/>
    <mergeCell ref="A129:D129"/>
    <mergeCell ref="G111:O111"/>
    <mergeCell ref="G112:O112"/>
    <mergeCell ref="G114:O114"/>
    <mergeCell ref="G115:O115"/>
    <mergeCell ref="A117:S117"/>
    <mergeCell ref="L118:M118"/>
    <mergeCell ref="N118:O118"/>
    <mergeCell ref="P118:Q118"/>
    <mergeCell ref="R118:S118"/>
    <mergeCell ref="B105:F112"/>
    <mergeCell ref="G105:O105"/>
    <mergeCell ref="G106:O106"/>
    <mergeCell ref="G107:O107"/>
    <mergeCell ref="G108:O108"/>
    <mergeCell ref="G109:O109"/>
    <mergeCell ref="G110:O110"/>
    <mergeCell ref="A105:A112"/>
    <mergeCell ref="A114:A115"/>
    <mergeCell ref="N75:O75"/>
    <mergeCell ref="P75:Q75"/>
    <mergeCell ref="R75:S75"/>
    <mergeCell ref="D77:K77"/>
    <mergeCell ref="D78:K78"/>
    <mergeCell ref="D79:K79"/>
    <mergeCell ref="A69:A72"/>
    <mergeCell ref="A77:A81"/>
    <mergeCell ref="J61:O61"/>
    <mergeCell ref="J63:O63"/>
    <mergeCell ref="J64:O64"/>
    <mergeCell ref="J65:O65"/>
    <mergeCell ref="J66:O66"/>
    <mergeCell ref="J67:O67"/>
    <mergeCell ref="J69:O69"/>
    <mergeCell ref="J70:O70"/>
    <mergeCell ref="J71:O71"/>
    <mergeCell ref="J72:O72"/>
    <mergeCell ref="A74:S74"/>
    <mergeCell ref="L75:M75"/>
    <mergeCell ref="B63:I67"/>
    <mergeCell ref="B57:I61"/>
    <mergeCell ref="J60:O60"/>
    <mergeCell ref="J40:O40"/>
    <mergeCell ref="J41:O41"/>
    <mergeCell ref="J42:O42"/>
    <mergeCell ref="J43:O43"/>
    <mergeCell ref="J45:O45"/>
    <mergeCell ref="J46:O46"/>
    <mergeCell ref="J47:O47"/>
    <mergeCell ref="J48:O48"/>
    <mergeCell ref="J49:O49"/>
    <mergeCell ref="A34:S34"/>
    <mergeCell ref="A35:S35"/>
    <mergeCell ref="J37:O37"/>
    <mergeCell ref="J38:O38"/>
    <mergeCell ref="J39:O39"/>
    <mergeCell ref="J55:O55"/>
    <mergeCell ref="J57:O57"/>
    <mergeCell ref="J58:O58"/>
    <mergeCell ref="J59:O59"/>
    <mergeCell ref="B51:I55"/>
    <mergeCell ref="B45:I49"/>
    <mergeCell ref="B38:I43"/>
    <mergeCell ref="D31:G31"/>
    <mergeCell ref="H31:K31"/>
    <mergeCell ref="L31:O31"/>
    <mergeCell ref="P31:S31"/>
    <mergeCell ref="D32:G32"/>
    <mergeCell ref="H32:K32"/>
    <mergeCell ref="L32:O32"/>
    <mergeCell ref="P32:S32"/>
    <mergeCell ref="D33:G33"/>
    <mergeCell ref="H33:K33"/>
    <mergeCell ref="L33:O33"/>
    <mergeCell ref="P33:S33"/>
    <mergeCell ref="D28:G28"/>
    <mergeCell ref="H28:K28"/>
    <mergeCell ref="L28:O28"/>
    <mergeCell ref="P28:S28"/>
    <mergeCell ref="D29:G29"/>
    <mergeCell ref="H29:K29"/>
    <mergeCell ref="L29:O29"/>
    <mergeCell ref="P29:S29"/>
    <mergeCell ref="D30:G30"/>
    <mergeCell ref="H30:K30"/>
    <mergeCell ref="L30:O30"/>
    <mergeCell ref="P30:S30"/>
    <mergeCell ref="D25:G25"/>
    <mergeCell ref="H25:K25"/>
    <mergeCell ref="L25:O25"/>
    <mergeCell ref="P25:S25"/>
    <mergeCell ref="D26:G26"/>
    <mergeCell ref="H26:K26"/>
    <mergeCell ref="L26:O26"/>
    <mergeCell ref="P26:S26"/>
    <mergeCell ref="D27:G27"/>
    <mergeCell ref="H27:K27"/>
    <mergeCell ref="L27:O27"/>
    <mergeCell ref="P27:S27"/>
    <mergeCell ref="D17:G17"/>
    <mergeCell ref="H17:K17"/>
    <mergeCell ref="L17:O17"/>
    <mergeCell ref="P17:S17"/>
    <mergeCell ref="A22:R22"/>
    <mergeCell ref="D23:G23"/>
    <mergeCell ref="H23:K23"/>
    <mergeCell ref="L23:O23"/>
    <mergeCell ref="P23:S23"/>
    <mergeCell ref="A19:A21"/>
    <mergeCell ref="B19:B21"/>
    <mergeCell ref="K19:K21"/>
    <mergeCell ref="O19:O21"/>
    <mergeCell ref="S19:S21"/>
    <mergeCell ref="C17:C18"/>
    <mergeCell ref="C23:C24"/>
    <mergeCell ref="G19:G21"/>
    <mergeCell ref="D24:G24"/>
    <mergeCell ref="H24:K24"/>
    <mergeCell ref="L24:O24"/>
    <mergeCell ref="P24:S24"/>
    <mergeCell ref="A23:B24"/>
    <mergeCell ref="A17:B18"/>
    <mergeCell ref="B1:T1"/>
    <mergeCell ref="A3:T3"/>
    <mergeCell ref="A4:T4"/>
    <mergeCell ref="B5:T5"/>
    <mergeCell ref="A9:T9"/>
    <mergeCell ref="D10:H10"/>
    <mergeCell ref="I10:M10"/>
    <mergeCell ref="O10:S10"/>
    <mergeCell ref="A16:R16"/>
    <mergeCell ref="A10:A11"/>
    <mergeCell ref="A12:A13"/>
    <mergeCell ref="A14:A15"/>
    <mergeCell ref="B10:B11"/>
    <mergeCell ref="B12:B13"/>
    <mergeCell ref="B14:B15"/>
    <mergeCell ref="N10:N11"/>
    <mergeCell ref="T10:T11"/>
    <mergeCell ref="T12:T13"/>
    <mergeCell ref="T14:T15"/>
    <mergeCell ref="C10:C11"/>
    <mergeCell ref="C12:C15"/>
  </mergeCell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58"/>
  <sheetViews>
    <sheetView topLeftCell="B2" workbookViewId="0">
      <selection activeCell="F170" sqref="F170"/>
    </sheetView>
  </sheetViews>
  <sheetFormatPr defaultColWidth="9.140625" defaultRowHeight="11.25" x14ac:dyDescent="0.2"/>
  <cols>
    <col min="1" max="1" width="5" style="1" customWidth="1"/>
    <col min="2" max="2" width="25.7109375" style="2" customWidth="1"/>
    <col min="3" max="3" width="11.140625" style="2" customWidth="1"/>
    <col min="4" max="11" width="3.42578125" style="2" customWidth="1"/>
    <col min="12" max="19" width="4.42578125" style="2" customWidth="1"/>
    <col min="20" max="20" width="26.140625" style="2" customWidth="1"/>
    <col min="21" max="21" width="9.140625" style="2"/>
    <col min="22" max="22" width="32.28515625" style="2" customWidth="1"/>
    <col min="23" max="16384" width="9.140625" style="2"/>
  </cols>
  <sheetData>
    <row r="1" spans="1:20" ht="18" customHeight="1" x14ac:dyDescent="0.2">
      <c r="B1" s="192" t="s">
        <v>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20" ht="9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O2" s="3"/>
      <c r="P2" s="42" t="s">
        <v>153</v>
      </c>
      <c r="Q2" s="42"/>
      <c r="R2" s="42"/>
      <c r="S2" s="42"/>
      <c r="T2" s="42"/>
    </row>
    <row r="3" spans="1:20" ht="15" customHeight="1" x14ac:dyDescent="0.2">
      <c r="A3" s="193" t="s">
        <v>154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20" ht="50.25" customHeight="1" x14ac:dyDescent="0.2">
      <c r="A4" s="194" t="s">
        <v>155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</row>
    <row r="5" spans="1:20" ht="16.5" customHeight="1" x14ac:dyDescent="0.2">
      <c r="A5" s="4" t="s">
        <v>3</v>
      </c>
      <c r="B5" s="197" t="s">
        <v>156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9"/>
    </row>
    <row r="6" spans="1:20" ht="17.25" customHeight="1" x14ac:dyDescent="0.2">
      <c r="A6" s="5" t="s">
        <v>157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8"/>
    </row>
    <row r="7" spans="1:20" ht="33" customHeight="1" x14ac:dyDescent="0.2">
      <c r="A7" s="7" t="s">
        <v>158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59"/>
    </row>
    <row r="8" spans="1:20" ht="14.25" customHeight="1" x14ac:dyDescent="0.2">
      <c r="A8" s="9" t="s">
        <v>159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60">
        <v>0.2</v>
      </c>
    </row>
    <row r="9" spans="1:20" ht="25.5" customHeight="1" x14ac:dyDescent="0.2">
      <c r="A9" s="200" t="s">
        <v>160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2"/>
    </row>
    <row r="10" spans="1:20" ht="19.5" customHeight="1" x14ac:dyDescent="0.2">
      <c r="A10" s="207"/>
      <c r="B10" s="210"/>
      <c r="C10" s="217" t="s">
        <v>14</v>
      </c>
      <c r="D10" s="203" t="s">
        <v>161</v>
      </c>
      <c r="E10" s="203"/>
      <c r="F10" s="203"/>
      <c r="G10" s="203"/>
      <c r="H10" s="203"/>
      <c r="I10" s="203" t="s">
        <v>162</v>
      </c>
      <c r="J10" s="203"/>
      <c r="K10" s="203"/>
      <c r="L10" s="203"/>
      <c r="M10" s="203"/>
      <c r="N10" s="204" t="s">
        <v>163</v>
      </c>
      <c r="O10" s="204" t="s">
        <v>164</v>
      </c>
      <c r="P10" s="204"/>
      <c r="Q10" s="204"/>
      <c r="R10" s="204"/>
      <c r="S10" s="204"/>
      <c r="T10" s="213" t="s">
        <v>165</v>
      </c>
    </row>
    <row r="11" spans="1:20" ht="22.5" customHeight="1" x14ac:dyDescent="0.2">
      <c r="A11" s="208"/>
      <c r="B11" s="211"/>
      <c r="C11" s="218"/>
      <c r="D11" s="12" t="s">
        <v>8</v>
      </c>
      <c r="E11" s="12" t="s">
        <v>9</v>
      </c>
      <c r="F11" s="12" t="s">
        <v>10</v>
      </c>
      <c r="G11" s="12" t="s">
        <v>11</v>
      </c>
      <c r="H11" s="12" t="s">
        <v>166</v>
      </c>
      <c r="I11" s="12" t="s">
        <v>8</v>
      </c>
      <c r="J11" s="12" t="s">
        <v>9</v>
      </c>
      <c r="K11" s="12" t="s">
        <v>10</v>
      </c>
      <c r="L11" s="12" t="s">
        <v>11</v>
      </c>
      <c r="M11" s="12" t="s">
        <v>166</v>
      </c>
      <c r="N11" s="212"/>
      <c r="O11" s="12" t="s">
        <v>8</v>
      </c>
      <c r="P11" s="12" t="s">
        <v>9</v>
      </c>
      <c r="Q11" s="12" t="s">
        <v>10</v>
      </c>
      <c r="R11" s="12" t="s">
        <v>11</v>
      </c>
      <c r="S11" s="12" t="s">
        <v>166</v>
      </c>
      <c r="T11" s="214"/>
    </row>
    <row r="12" spans="1:20" ht="12.75" customHeight="1" x14ac:dyDescent="0.2">
      <c r="A12" s="209" t="s">
        <v>50</v>
      </c>
      <c r="B12" s="209" t="s">
        <v>167</v>
      </c>
      <c r="C12" s="219" t="s">
        <v>168</v>
      </c>
      <c r="D12" s="14">
        <v>80</v>
      </c>
      <c r="E12" s="15"/>
      <c r="F12" s="15"/>
      <c r="G12" s="15"/>
      <c r="H12" s="15">
        <f>(D12+E12+F12+G12)/4</f>
        <v>20</v>
      </c>
      <c r="I12" s="17"/>
      <c r="J12" s="17"/>
      <c r="K12" s="17"/>
      <c r="L12" s="17"/>
      <c r="M12" s="15">
        <f>(I12+J12+K12+L12)/4</f>
        <v>0</v>
      </c>
      <c r="N12" s="43">
        <v>1</v>
      </c>
      <c r="O12" s="43"/>
      <c r="P12" s="43"/>
      <c r="Q12" s="43"/>
      <c r="R12" s="43"/>
      <c r="S12" s="43">
        <f>SUM(O12:R12)/4</f>
        <v>0</v>
      </c>
      <c r="T12" s="215">
        <f>(H12+N12-0.2*S12)+(M12-0.2*S12)</f>
        <v>21</v>
      </c>
    </row>
    <row r="13" spans="1:20" ht="21.75" customHeight="1" x14ac:dyDescent="0.2">
      <c r="A13" s="209"/>
      <c r="B13" s="209"/>
      <c r="C13" s="219"/>
      <c r="D13" s="16"/>
      <c r="E13" s="15"/>
      <c r="F13" s="15"/>
      <c r="G13" s="15"/>
      <c r="H13" s="15"/>
      <c r="I13" s="16"/>
      <c r="J13" s="16"/>
      <c r="K13" s="16"/>
      <c r="L13" s="16"/>
      <c r="M13" s="16"/>
      <c r="N13" s="44"/>
      <c r="O13" s="45"/>
      <c r="P13" s="46"/>
      <c r="Q13" s="46"/>
      <c r="R13" s="46"/>
      <c r="S13" s="46"/>
      <c r="T13" s="216"/>
    </row>
    <row r="14" spans="1:20" ht="13.5" customHeight="1" x14ac:dyDescent="0.2">
      <c r="A14" s="209" t="s">
        <v>54</v>
      </c>
      <c r="B14" s="209" t="s">
        <v>169</v>
      </c>
      <c r="C14" s="219"/>
      <c r="D14" s="16">
        <v>80</v>
      </c>
      <c r="E14" s="16"/>
      <c r="F14" s="16"/>
      <c r="G14" s="16"/>
      <c r="H14" s="15">
        <f>(D14+E14+F14+G14)/4</f>
        <v>20</v>
      </c>
      <c r="I14" s="16"/>
      <c r="J14" s="16"/>
      <c r="K14" s="16"/>
      <c r="L14" s="16"/>
      <c r="M14" s="15">
        <f>(I14+J14+K14+L14)/4</f>
        <v>0</v>
      </c>
      <c r="N14" s="43">
        <v>1</v>
      </c>
      <c r="O14" s="43"/>
      <c r="P14" s="43"/>
      <c r="Q14" s="43"/>
      <c r="R14" s="43"/>
      <c r="S14" s="43">
        <f>SUM(O14:R14)/4</f>
        <v>0</v>
      </c>
      <c r="T14" s="215">
        <f>(H14+N14-0.2*S14)+(M14-0.2*S14)</f>
        <v>21</v>
      </c>
    </row>
    <row r="15" spans="1:20" ht="33" customHeight="1" x14ac:dyDescent="0.2">
      <c r="A15" s="209"/>
      <c r="B15" s="209"/>
      <c r="C15" s="21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47"/>
      <c r="O15" s="48"/>
      <c r="P15" s="46"/>
      <c r="Q15" s="46"/>
      <c r="R15" s="46"/>
      <c r="S15" s="46"/>
      <c r="T15" s="216"/>
    </row>
    <row r="16" spans="1:20" ht="21" customHeight="1" x14ac:dyDescent="0.2">
      <c r="A16" s="205" t="s">
        <v>29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61"/>
      <c r="T16" s="62">
        <f>T12+T14</f>
        <v>42</v>
      </c>
    </row>
    <row r="17" spans="1:20" ht="32.25" customHeight="1" x14ac:dyDescent="0.2">
      <c r="A17" s="356" t="s">
        <v>170</v>
      </c>
      <c r="B17" s="226"/>
      <c r="C17" s="226" t="s">
        <v>14</v>
      </c>
      <c r="D17" s="220" t="s">
        <v>31</v>
      </c>
      <c r="E17" s="220"/>
      <c r="F17" s="220"/>
      <c r="G17" s="220"/>
      <c r="H17" s="220" t="s">
        <v>32</v>
      </c>
      <c r="I17" s="220"/>
      <c r="J17" s="220"/>
      <c r="K17" s="220"/>
      <c r="L17" s="220" t="s">
        <v>33</v>
      </c>
      <c r="M17" s="220"/>
      <c r="N17" s="220"/>
      <c r="O17" s="220"/>
      <c r="P17" s="220" t="s">
        <v>34</v>
      </c>
      <c r="Q17" s="220"/>
      <c r="R17" s="220"/>
      <c r="S17" s="220"/>
      <c r="T17" s="309" t="s">
        <v>171</v>
      </c>
    </row>
    <row r="18" spans="1:20" ht="30" customHeight="1" x14ac:dyDescent="0.2">
      <c r="A18" s="357"/>
      <c r="B18" s="225"/>
      <c r="C18" s="225"/>
      <c r="D18" s="18" t="s">
        <v>35</v>
      </c>
      <c r="E18" s="18" t="s">
        <v>172</v>
      </c>
      <c r="F18" s="18" t="s">
        <v>37</v>
      </c>
      <c r="G18" s="18" t="s">
        <v>39</v>
      </c>
      <c r="H18" s="18" t="s">
        <v>172</v>
      </c>
      <c r="I18" s="18" t="s">
        <v>37</v>
      </c>
      <c r="J18" s="18" t="s">
        <v>35</v>
      </c>
      <c r="K18" s="18" t="s">
        <v>39</v>
      </c>
      <c r="L18" s="18" t="s">
        <v>172</v>
      </c>
      <c r="M18" s="18" t="s">
        <v>37</v>
      </c>
      <c r="N18" s="18" t="s">
        <v>35</v>
      </c>
      <c r="O18" s="18" t="s">
        <v>39</v>
      </c>
      <c r="P18" s="18" t="s">
        <v>172</v>
      </c>
      <c r="Q18" s="18" t="s">
        <v>37</v>
      </c>
      <c r="R18" s="18" t="s">
        <v>35</v>
      </c>
      <c r="S18" s="18" t="s">
        <v>39</v>
      </c>
      <c r="T18" s="310"/>
    </row>
    <row r="19" spans="1:20" ht="11.25" customHeight="1" x14ac:dyDescent="0.2">
      <c r="A19" s="223" t="s">
        <v>50</v>
      </c>
      <c r="B19" s="224" t="s">
        <v>173</v>
      </c>
      <c r="C19" s="13" t="s">
        <v>174</v>
      </c>
      <c r="D19" s="15">
        <v>160</v>
      </c>
      <c r="E19" s="15"/>
      <c r="F19" s="15"/>
      <c r="G19" s="225">
        <f>D19+E19+F19+D20+E20+F20+D21+E21+F21</f>
        <v>160</v>
      </c>
      <c r="H19" s="15"/>
      <c r="I19" s="15"/>
      <c r="J19" s="15"/>
      <c r="K19" s="225">
        <f>H19+I19+J19+H20+I20+J20+H21+I21+J21</f>
        <v>0</v>
      </c>
      <c r="L19" s="15"/>
      <c r="M19" s="15"/>
      <c r="N19" s="15"/>
      <c r="O19" s="225">
        <f>L19+M19+N19+L20+M20+N20+L21+M21+N21</f>
        <v>0</v>
      </c>
      <c r="P19" s="15"/>
      <c r="Q19" s="15"/>
      <c r="R19" s="15"/>
      <c r="S19" s="225">
        <f t="shared" ref="S19" si="0">P19+Q19+R19+P20++Q20+R20+P21+Q21+R21</f>
        <v>0</v>
      </c>
      <c r="T19" s="310">
        <f>(G19+K19+O19+S19)/4</f>
        <v>40</v>
      </c>
    </row>
    <row r="20" spans="1:20" ht="11.25" customHeight="1" x14ac:dyDescent="0.2">
      <c r="A20" s="223"/>
      <c r="B20" s="224"/>
      <c r="C20" s="13" t="s">
        <v>175</v>
      </c>
      <c r="D20" s="15"/>
      <c r="E20" s="15"/>
      <c r="F20" s="15"/>
      <c r="G20" s="225"/>
      <c r="H20" s="15"/>
      <c r="I20" s="15"/>
      <c r="J20" s="15"/>
      <c r="K20" s="225"/>
      <c r="L20" s="15"/>
      <c r="M20" s="15"/>
      <c r="N20" s="15"/>
      <c r="O20" s="225"/>
      <c r="P20" s="15"/>
      <c r="Q20" s="15"/>
      <c r="R20" s="15"/>
      <c r="S20" s="225"/>
      <c r="T20" s="310"/>
    </row>
    <row r="21" spans="1:20" ht="28.5" customHeight="1" x14ac:dyDescent="0.2">
      <c r="A21" s="223"/>
      <c r="B21" s="224"/>
      <c r="C21" s="13" t="s">
        <v>176</v>
      </c>
      <c r="D21" s="15"/>
      <c r="E21" s="15"/>
      <c r="F21" s="15"/>
      <c r="G21" s="225"/>
      <c r="H21" s="15"/>
      <c r="I21" s="15"/>
      <c r="J21" s="15"/>
      <c r="K21" s="225"/>
      <c r="L21" s="15"/>
      <c r="M21" s="15"/>
      <c r="N21" s="15"/>
      <c r="O21" s="225"/>
      <c r="P21" s="15"/>
      <c r="Q21" s="15"/>
      <c r="R21" s="15"/>
      <c r="S21" s="225"/>
      <c r="T21" s="310"/>
    </row>
    <row r="22" spans="1:20" ht="20.25" customHeight="1" x14ac:dyDescent="0.2">
      <c r="A22" s="221" t="s">
        <v>48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1"/>
      <c r="T22" s="63">
        <f>T19</f>
        <v>40</v>
      </c>
    </row>
    <row r="23" spans="1:20" ht="21.75" customHeight="1" x14ac:dyDescent="0.2">
      <c r="A23" s="352" t="s">
        <v>177</v>
      </c>
      <c r="B23" s="353"/>
      <c r="C23" s="226" t="s">
        <v>14</v>
      </c>
      <c r="D23" s="220" t="s">
        <v>31</v>
      </c>
      <c r="E23" s="220"/>
      <c r="F23" s="220"/>
      <c r="G23" s="220"/>
      <c r="H23" s="220" t="s">
        <v>32</v>
      </c>
      <c r="I23" s="220"/>
      <c r="J23" s="220"/>
      <c r="K23" s="220"/>
      <c r="L23" s="220" t="s">
        <v>33</v>
      </c>
      <c r="M23" s="220"/>
      <c r="N23" s="220"/>
      <c r="O23" s="220"/>
      <c r="P23" s="220" t="s">
        <v>34</v>
      </c>
      <c r="Q23" s="220"/>
      <c r="R23" s="220"/>
      <c r="S23" s="220"/>
      <c r="T23" s="311" t="s">
        <v>171</v>
      </c>
    </row>
    <row r="24" spans="1:20" ht="21.75" customHeight="1" x14ac:dyDescent="0.2">
      <c r="A24" s="354"/>
      <c r="B24" s="355"/>
      <c r="C24" s="225"/>
      <c r="D24" s="227" t="s">
        <v>37</v>
      </c>
      <c r="E24" s="228"/>
      <c r="F24" s="228"/>
      <c r="G24" s="229"/>
      <c r="H24" s="227" t="s">
        <v>37</v>
      </c>
      <c r="I24" s="228"/>
      <c r="J24" s="228"/>
      <c r="K24" s="229"/>
      <c r="L24" s="227" t="s">
        <v>37</v>
      </c>
      <c r="M24" s="228"/>
      <c r="N24" s="228"/>
      <c r="O24" s="229"/>
      <c r="P24" s="227" t="s">
        <v>37</v>
      </c>
      <c r="Q24" s="228"/>
      <c r="R24" s="228"/>
      <c r="S24" s="229"/>
      <c r="T24" s="312"/>
    </row>
    <row r="25" spans="1:20" ht="10.5" customHeight="1" x14ac:dyDescent="0.2">
      <c r="A25" s="223" t="s">
        <v>50</v>
      </c>
      <c r="B25" s="373" t="s">
        <v>51</v>
      </c>
      <c r="C25" s="22" t="s">
        <v>52</v>
      </c>
      <c r="D25" s="225">
        <v>40</v>
      </c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310">
        <f>(D25+H25+L25+P25+D26+H26+L26+P26)/4</f>
        <v>10</v>
      </c>
    </row>
    <row r="26" spans="1:20" ht="10.5" customHeight="1" x14ac:dyDescent="0.2">
      <c r="A26" s="223"/>
      <c r="B26" s="374"/>
      <c r="C26" s="23" t="s">
        <v>178</v>
      </c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310"/>
    </row>
    <row r="27" spans="1:20" ht="10.5" customHeight="1" x14ac:dyDescent="0.2">
      <c r="A27" s="223" t="s">
        <v>54</v>
      </c>
      <c r="B27" s="331" t="s">
        <v>55</v>
      </c>
      <c r="C27" s="23" t="s">
        <v>56</v>
      </c>
      <c r="D27" s="225">
        <v>40</v>
      </c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310">
        <f>(D27+H27+L27+P27+D28+H28+L28+P28)/4</f>
        <v>10</v>
      </c>
    </row>
    <row r="28" spans="1:20" ht="10.5" customHeight="1" x14ac:dyDescent="0.2">
      <c r="A28" s="223"/>
      <c r="B28" s="331"/>
      <c r="C28" s="23" t="s">
        <v>178</v>
      </c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310"/>
    </row>
    <row r="29" spans="1:20" ht="10.5" customHeight="1" x14ac:dyDescent="0.2">
      <c r="A29" s="223" t="s">
        <v>57</v>
      </c>
      <c r="B29" s="331" t="s">
        <v>58</v>
      </c>
      <c r="C29" s="13" t="s">
        <v>59</v>
      </c>
      <c r="D29" s="225">
        <v>40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310">
        <f>(D29+H29+L29+P29+D30+H30+L30+P30)/4</f>
        <v>10</v>
      </c>
    </row>
    <row r="30" spans="1:20" ht="10.5" customHeight="1" x14ac:dyDescent="0.2">
      <c r="A30" s="292"/>
      <c r="B30" s="375"/>
      <c r="C30" s="24" t="s">
        <v>179</v>
      </c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310"/>
    </row>
    <row r="31" spans="1:20" ht="10.5" customHeight="1" x14ac:dyDescent="0.2">
      <c r="A31" s="243" t="s">
        <v>61</v>
      </c>
      <c r="B31" s="325" t="s">
        <v>62</v>
      </c>
      <c r="C31" s="26" t="s">
        <v>63</v>
      </c>
      <c r="D31" s="225">
        <v>40</v>
      </c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313">
        <f>(D31+H31+L31+P31+D32+H32+L32+P32+D33+H33+L33+P33)/4</f>
        <v>10</v>
      </c>
    </row>
    <row r="32" spans="1:20" ht="10.5" customHeight="1" x14ac:dyDescent="0.2">
      <c r="A32" s="223"/>
      <c r="B32" s="331"/>
      <c r="C32" s="27" t="s">
        <v>180</v>
      </c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313"/>
    </row>
    <row r="33" spans="1:20" ht="10.5" customHeight="1" x14ac:dyDescent="0.2">
      <c r="A33" s="244"/>
      <c r="B33" s="326"/>
      <c r="C33" s="29" t="s">
        <v>181</v>
      </c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313"/>
    </row>
    <row r="34" spans="1:20" ht="18.75" customHeight="1" x14ac:dyDescent="0.2">
      <c r="A34" s="230" t="s">
        <v>66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2"/>
      <c r="T34" s="64">
        <f>T25+T27+T29+T31</f>
        <v>40</v>
      </c>
    </row>
    <row r="35" spans="1:20" ht="25.5" customHeight="1" x14ac:dyDescent="0.2">
      <c r="A35" s="233" t="s">
        <v>67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65">
        <f>T16+T22+T34</f>
        <v>122</v>
      </c>
    </row>
    <row r="36" spans="1:20" ht="18.75" customHeight="1" x14ac:dyDescent="0.2">
      <c r="A36" s="30" t="s">
        <v>182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6"/>
    </row>
    <row r="37" spans="1:20" ht="15" customHeight="1" x14ac:dyDescent="0.2">
      <c r="A37" s="32" t="s">
        <v>183</v>
      </c>
      <c r="B37" s="33"/>
      <c r="C37" s="33"/>
      <c r="D37" s="33"/>
      <c r="E37" s="33"/>
      <c r="F37" s="33"/>
      <c r="G37" s="33"/>
      <c r="H37" s="33"/>
      <c r="I37" s="33"/>
      <c r="J37" s="235" t="s">
        <v>184</v>
      </c>
      <c r="K37" s="235"/>
      <c r="L37" s="235"/>
      <c r="M37" s="235"/>
      <c r="N37" s="235"/>
      <c r="O37" s="236"/>
      <c r="P37" s="49" t="s">
        <v>185</v>
      </c>
      <c r="Q37" s="49" t="s">
        <v>186</v>
      </c>
      <c r="R37" s="67" t="s">
        <v>187</v>
      </c>
      <c r="S37" s="49" t="s">
        <v>188</v>
      </c>
      <c r="T37" s="68" t="s">
        <v>165</v>
      </c>
    </row>
    <row r="38" spans="1:20" ht="10.5" customHeight="1" x14ac:dyDescent="0.2">
      <c r="A38" s="293" t="s">
        <v>71</v>
      </c>
      <c r="B38" s="349" t="s">
        <v>189</v>
      </c>
      <c r="C38" s="240"/>
      <c r="D38" s="240"/>
      <c r="E38" s="240"/>
      <c r="F38" s="240"/>
      <c r="G38" s="240"/>
      <c r="H38" s="240"/>
      <c r="I38" s="240"/>
      <c r="J38" s="237" t="s">
        <v>190</v>
      </c>
      <c r="K38" s="237"/>
      <c r="L38" s="237"/>
      <c r="M38" s="237"/>
      <c r="N38" s="237"/>
      <c r="O38" s="237"/>
      <c r="P38" s="50">
        <v>60</v>
      </c>
      <c r="Q38" s="50"/>
      <c r="R38" s="50"/>
      <c r="S38" s="50"/>
      <c r="T38" s="69">
        <f>P38+Q38+R38+S38/4</f>
        <v>60</v>
      </c>
    </row>
    <row r="39" spans="1:20" ht="10.5" customHeight="1" x14ac:dyDescent="0.2">
      <c r="A39" s="294"/>
      <c r="B39" s="350"/>
      <c r="C39" s="350"/>
      <c r="D39" s="350"/>
      <c r="E39" s="350"/>
      <c r="F39" s="350"/>
      <c r="G39" s="350"/>
      <c r="H39" s="350"/>
      <c r="I39" s="350"/>
      <c r="J39" s="238" t="s">
        <v>191</v>
      </c>
      <c r="K39" s="238"/>
      <c r="L39" s="238"/>
      <c r="M39" s="238"/>
      <c r="N39" s="238"/>
      <c r="O39" s="238"/>
      <c r="P39" s="51"/>
      <c r="Q39" s="51"/>
      <c r="R39" s="51"/>
      <c r="S39" s="51"/>
      <c r="T39" s="69">
        <f t="shared" ref="T39:T43" si="1">P39+Q39+R39+S39/4</f>
        <v>0</v>
      </c>
    </row>
    <row r="40" spans="1:20" ht="10.5" customHeight="1" x14ac:dyDescent="0.2">
      <c r="A40" s="294"/>
      <c r="B40" s="350"/>
      <c r="C40" s="350"/>
      <c r="D40" s="350"/>
      <c r="E40" s="350"/>
      <c r="F40" s="350"/>
      <c r="G40" s="350"/>
      <c r="H40" s="350"/>
      <c r="I40" s="350"/>
      <c r="J40" s="238" t="s">
        <v>192</v>
      </c>
      <c r="K40" s="238"/>
      <c r="L40" s="238"/>
      <c r="M40" s="238"/>
      <c r="N40" s="238"/>
      <c r="O40" s="238"/>
      <c r="P40" s="51"/>
      <c r="Q40" s="51">
        <v>200</v>
      </c>
      <c r="R40" s="51"/>
      <c r="S40" s="51"/>
      <c r="T40" s="69">
        <f t="shared" si="1"/>
        <v>200</v>
      </c>
    </row>
    <row r="41" spans="1:20" ht="10.5" customHeight="1" x14ac:dyDescent="0.2">
      <c r="A41" s="294"/>
      <c r="B41" s="350"/>
      <c r="C41" s="350"/>
      <c r="D41" s="350"/>
      <c r="E41" s="350"/>
      <c r="F41" s="350"/>
      <c r="G41" s="350"/>
      <c r="H41" s="350"/>
      <c r="I41" s="350"/>
      <c r="J41" s="238" t="s">
        <v>193</v>
      </c>
      <c r="K41" s="238"/>
      <c r="L41" s="238"/>
      <c r="M41" s="238"/>
      <c r="N41" s="238"/>
      <c r="O41" s="238"/>
      <c r="P41" s="51"/>
      <c r="Q41" s="51">
        <v>300</v>
      </c>
      <c r="R41" s="51"/>
      <c r="S41" s="51"/>
      <c r="T41" s="69">
        <f t="shared" si="1"/>
        <v>300</v>
      </c>
    </row>
    <row r="42" spans="1:20" ht="10.5" customHeight="1" x14ac:dyDescent="0.2">
      <c r="A42" s="294"/>
      <c r="B42" s="350"/>
      <c r="C42" s="350"/>
      <c r="D42" s="350"/>
      <c r="E42" s="350"/>
      <c r="F42" s="350"/>
      <c r="G42" s="350"/>
      <c r="H42" s="350"/>
      <c r="I42" s="350"/>
      <c r="J42" s="238" t="s">
        <v>194</v>
      </c>
      <c r="K42" s="238"/>
      <c r="L42" s="238"/>
      <c r="M42" s="238"/>
      <c r="N42" s="238"/>
      <c r="O42" s="238"/>
      <c r="P42" s="51"/>
      <c r="Q42" s="51"/>
      <c r="R42" s="51"/>
      <c r="S42" s="51"/>
      <c r="T42" s="69">
        <f t="shared" si="1"/>
        <v>0</v>
      </c>
    </row>
    <row r="43" spans="1:20" ht="17.25" customHeight="1" x14ac:dyDescent="0.2">
      <c r="A43" s="295"/>
      <c r="B43" s="351"/>
      <c r="C43" s="351"/>
      <c r="D43" s="351"/>
      <c r="E43" s="351"/>
      <c r="F43" s="351"/>
      <c r="G43" s="351"/>
      <c r="H43" s="351"/>
      <c r="I43" s="351"/>
      <c r="J43" s="239" t="s">
        <v>195</v>
      </c>
      <c r="K43" s="239"/>
      <c r="L43" s="239"/>
      <c r="M43" s="239"/>
      <c r="N43" s="239"/>
      <c r="O43" s="239"/>
      <c r="P43" s="52"/>
      <c r="Q43" s="52"/>
      <c r="R43" s="52"/>
      <c r="S43" s="52"/>
      <c r="T43" s="69">
        <f t="shared" si="1"/>
        <v>0</v>
      </c>
    </row>
    <row r="44" spans="1:20" ht="16.5" customHeight="1" x14ac:dyDescent="0.2">
      <c r="A44" s="34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53"/>
      <c r="M44" s="53"/>
      <c r="N44" s="53"/>
      <c r="O44" s="54"/>
      <c r="P44" s="55"/>
      <c r="Q44" s="55"/>
      <c r="R44" s="55"/>
      <c r="S44" s="55"/>
      <c r="T44" s="70">
        <f>T38+T39+T40+T41+T42+T43</f>
        <v>560</v>
      </c>
    </row>
    <row r="45" spans="1:20" ht="11.25" customHeight="1" x14ac:dyDescent="0.2">
      <c r="A45" s="243" t="s">
        <v>79</v>
      </c>
      <c r="B45" s="226" t="s">
        <v>80</v>
      </c>
      <c r="C45" s="220"/>
      <c r="D45" s="220"/>
      <c r="E45" s="220"/>
      <c r="F45" s="220"/>
      <c r="G45" s="220"/>
      <c r="H45" s="220"/>
      <c r="I45" s="220"/>
      <c r="J45" s="237" t="s">
        <v>94</v>
      </c>
      <c r="K45" s="237"/>
      <c r="L45" s="237"/>
      <c r="M45" s="237"/>
      <c r="N45" s="237"/>
      <c r="O45" s="237"/>
      <c r="P45" s="50"/>
      <c r="Q45" s="50"/>
      <c r="R45" s="50"/>
      <c r="S45" s="50"/>
      <c r="T45" s="69">
        <f>P45+Q45+R45+S45</f>
        <v>0</v>
      </c>
    </row>
    <row r="46" spans="1:20" ht="11.25" customHeight="1" x14ac:dyDescent="0.2">
      <c r="A46" s="223"/>
      <c r="B46" s="216"/>
      <c r="C46" s="216"/>
      <c r="D46" s="216"/>
      <c r="E46" s="216"/>
      <c r="F46" s="216"/>
      <c r="G46" s="216"/>
      <c r="H46" s="216"/>
      <c r="I46" s="216"/>
      <c r="J46" s="238" t="s">
        <v>196</v>
      </c>
      <c r="K46" s="238"/>
      <c r="L46" s="238"/>
      <c r="M46" s="238"/>
      <c r="N46" s="238"/>
      <c r="O46" s="238"/>
      <c r="P46" s="51"/>
      <c r="Q46" s="51"/>
      <c r="R46" s="51"/>
      <c r="S46" s="51"/>
      <c r="T46" s="69">
        <f t="shared" ref="T46:T49" si="2">P46+Q46+R46+S46</f>
        <v>0</v>
      </c>
    </row>
    <row r="47" spans="1:20" ht="11.25" customHeight="1" x14ac:dyDescent="0.2">
      <c r="A47" s="223"/>
      <c r="B47" s="216"/>
      <c r="C47" s="216"/>
      <c r="D47" s="216"/>
      <c r="E47" s="216"/>
      <c r="F47" s="216"/>
      <c r="G47" s="216"/>
      <c r="H47" s="216"/>
      <c r="I47" s="216"/>
      <c r="J47" s="238" t="s">
        <v>197</v>
      </c>
      <c r="K47" s="238"/>
      <c r="L47" s="238"/>
      <c r="M47" s="238"/>
      <c r="N47" s="238"/>
      <c r="O47" s="238"/>
      <c r="P47" s="51"/>
      <c r="Q47" s="51"/>
      <c r="R47" s="51"/>
      <c r="S47" s="51"/>
      <c r="T47" s="69">
        <f t="shared" si="2"/>
        <v>0</v>
      </c>
    </row>
    <row r="48" spans="1:20" ht="11.25" customHeight="1" x14ac:dyDescent="0.2">
      <c r="A48" s="223"/>
      <c r="B48" s="216"/>
      <c r="C48" s="216"/>
      <c r="D48" s="216"/>
      <c r="E48" s="216"/>
      <c r="F48" s="216"/>
      <c r="G48" s="216"/>
      <c r="H48" s="216"/>
      <c r="I48" s="216"/>
      <c r="J48" s="238" t="s">
        <v>198</v>
      </c>
      <c r="K48" s="238"/>
      <c r="L48" s="238"/>
      <c r="M48" s="238"/>
      <c r="N48" s="238"/>
      <c r="O48" s="238"/>
      <c r="P48" s="51"/>
      <c r="Q48" s="51"/>
      <c r="R48" s="51"/>
      <c r="S48" s="51"/>
      <c r="T48" s="69">
        <f t="shared" si="2"/>
        <v>0</v>
      </c>
    </row>
    <row r="49" spans="1:20" ht="11.25" customHeight="1" x14ac:dyDescent="0.2">
      <c r="A49" s="223"/>
      <c r="B49" s="216"/>
      <c r="C49" s="216"/>
      <c r="D49" s="216"/>
      <c r="E49" s="216"/>
      <c r="F49" s="216"/>
      <c r="G49" s="216"/>
      <c r="H49" s="216"/>
      <c r="I49" s="216"/>
      <c r="J49" s="238" t="s">
        <v>199</v>
      </c>
      <c r="K49" s="238"/>
      <c r="L49" s="238"/>
      <c r="M49" s="238"/>
      <c r="N49" s="238"/>
      <c r="O49" s="238"/>
      <c r="P49" s="51"/>
      <c r="Q49" s="51"/>
      <c r="R49" s="51"/>
      <c r="S49" s="51"/>
      <c r="T49" s="69">
        <f t="shared" si="2"/>
        <v>0</v>
      </c>
    </row>
    <row r="50" spans="1:20" ht="18.75" customHeight="1" x14ac:dyDescent="0.2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56"/>
      <c r="M50" s="56"/>
      <c r="N50" s="56"/>
      <c r="O50" s="56"/>
      <c r="P50" s="57"/>
      <c r="Q50" s="55"/>
      <c r="R50" s="55"/>
      <c r="S50" s="71"/>
      <c r="T50" s="72">
        <f>T45+T46+T47+T48+T49</f>
        <v>0</v>
      </c>
    </row>
    <row r="51" spans="1:20" ht="18.75" customHeight="1" x14ac:dyDescent="0.2">
      <c r="A51" s="243" t="s">
        <v>81</v>
      </c>
      <c r="B51" s="226" t="s">
        <v>82</v>
      </c>
      <c r="C51" s="220"/>
      <c r="D51" s="220"/>
      <c r="E51" s="220"/>
      <c r="F51" s="220"/>
      <c r="G51" s="220"/>
      <c r="H51" s="220"/>
      <c r="I51" s="220"/>
      <c r="J51" s="237" t="s">
        <v>94</v>
      </c>
      <c r="K51" s="237"/>
      <c r="L51" s="237"/>
      <c r="M51" s="237"/>
      <c r="N51" s="237"/>
      <c r="O51" s="237"/>
      <c r="P51" s="50"/>
      <c r="Q51" s="50"/>
      <c r="R51" s="50"/>
      <c r="S51" s="50"/>
      <c r="T51" s="69">
        <f>P51+Q51+R51+S51</f>
        <v>0</v>
      </c>
    </row>
    <row r="52" spans="1:20" ht="18.75" customHeight="1" x14ac:dyDescent="0.2">
      <c r="A52" s="223"/>
      <c r="B52" s="216"/>
      <c r="C52" s="216"/>
      <c r="D52" s="216"/>
      <c r="E52" s="216"/>
      <c r="F52" s="216"/>
      <c r="G52" s="216"/>
      <c r="H52" s="216"/>
      <c r="I52" s="216"/>
      <c r="J52" s="238" t="s">
        <v>196</v>
      </c>
      <c r="K52" s="238"/>
      <c r="L52" s="238"/>
      <c r="M52" s="238"/>
      <c r="N52" s="238"/>
      <c r="O52" s="238"/>
      <c r="P52" s="51"/>
      <c r="Q52" s="51"/>
      <c r="R52" s="51"/>
      <c r="S52" s="51"/>
      <c r="T52" s="69">
        <f t="shared" ref="T52:T55" si="3">P52+Q52+R52+S52</f>
        <v>0</v>
      </c>
    </row>
    <row r="53" spans="1:20" ht="18.75" customHeight="1" x14ac:dyDescent="0.2">
      <c r="A53" s="223"/>
      <c r="B53" s="216"/>
      <c r="C53" s="216"/>
      <c r="D53" s="216"/>
      <c r="E53" s="216"/>
      <c r="F53" s="216"/>
      <c r="G53" s="216"/>
      <c r="H53" s="216"/>
      <c r="I53" s="216"/>
      <c r="J53" s="238" t="s">
        <v>197</v>
      </c>
      <c r="K53" s="238"/>
      <c r="L53" s="238"/>
      <c r="M53" s="238"/>
      <c r="N53" s="238"/>
      <c r="O53" s="238"/>
      <c r="P53" s="51"/>
      <c r="Q53" s="51"/>
      <c r="R53" s="51"/>
      <c r="S53" s="51"/>
      <c r="T53" s="69">
        <f t="shared" si="3"/>
        <v>0</v>
      </c>
    </row>
    <row r="54" spans="1:20" ht="18.75" customHeight="1" x14ac:dyDescent="0.2">
      <c r="A54" s="223"/>
      <c r="B54" s="216"/>
      <c r="C54" s="216"/>
      <c r="D54" s="216"/>
      <c r="E54" s="216"/>
      <c r="F54" s="216"/>
      <c r="G54" s="216"/>
      <c r="H54" s="216"/>
      <c r="I54" s="216"/>
      <c r="J54" s="238" t="s">
        <v>198</v>
      </c>
      <c r="K54" s="238"/>
      <c r="L54" s="238"/>
      <c r="M54" s="238"/>
      <c r="N54" s="238"/>
      <c r="O54" s="238"/>
      <c r="P54" s="51"/>
      <c r="Q54" s="51"/>
      <c r="R54" s="51"/>
      <c r="S54" s="51"/>
      <c r="T54" s="69">
        <f t="shared" si="3"/>
        <v>0</v>
      </c>
    </row>
    <row r="55" spans="1:20" ht="18.75" customHeight="1" x14ac:dyDescent="0.2">
      <c r="A55" s="223"/>
      <c r="B55" s="216"/>
      <c r="C55" s="216"/>
      <c r="D55" s="216"/>
      <c r="E55" s="216"/>
      <c r="F55" s="216"/>
      <c r="G55" s="216"/>
      <c r="H55" s="216"/>
      <c r="I55" s="216"/>
      <c r="J55" s="238" t="s">
        <v>199</v>
      </c>
      <c r="K55" s="238"/>
      <c r="L55" s="238"/>
      <c r="M55" s="238"/>
      <c r="N55" s="238"/>
      <c r="O55" s="238"/>
      <c r="P55" s="51"/>
      <c r="Q55" s="51"/>
      <c r="R55" s="51"/>
      <c r="S55" s="51"/>
      <c r="T55" s="69">
        <f t="shared" si="3"/>
        <v>0</v>
      </c>
    </row>
    <row r="56" spans="1:20" ht="18.75" customHeight="1" x14ac:dyDescent="0.2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56"/>
      <c r="M56" s="56"/>
      <c r="N56" s="56"/>
      <c r="O56" s="56"/>
      <c r="P56" s="57"/>
      <c r="Q56" s="55"/>
      <c r="R56" s="55"/>
      <c r="S56" s="71"/>
      <c r="T56" s="72">
        <f>T51+T52+T53+T54+T55</f>
        <v>0</v>
      </c>
    </row>
    <row r="57" spans="1:20" ht="9.75" customHeight="1" x14ac:dyDescent="0.2">
      <c r="A57" s="243" t="s">
        <v>83</v>
      </c>
      <c r="B57" s="255" t="s">
        <v>200</v>
      </c>
      <c r="C57" s="255"/>
      <c r="D57" s="255"/>
      <c r="E57" s="255"/>
      <c r="F57" s="255"/>
      <c r="G57" s="255"/>
      <c r="H57" s="255"/>
      <c r="I57" s="255"/>
      <c r="J57" s="237" t="s">
        <v>201</v>
      </c>
      <c r="K57" s="237"/>
      <c r="L57" s="237"/>
      <c r="M57" s="237"/>
      <c r="N57" s="237"/>
      <c r="O57" s="237"/>
      <c r="P57" s="50"/>
      <c r="Q57" s="50"/>
      <c r="R57" s="50"/>
      <c r="S57" s="50"/>
      <c r="T57" s="69">
        <f>P57+Q57+R57+S57</f>
        <v>0</v>
      </c>
    </row>
    <row r="58" spans="1:20" ht="9.75" customHeight="1" x14ac:dyDescent="0.2">
      <c r="A58" s="223"/>
      <c r="B58" s="219"/>
      <c r="C58" s="219"/>
      <c r="D58" s="219"/>
      <c r="E58" s="219"/>
      <c r="F58" s="219"/>
      <c r="G58" s="219"/>
      <c r="H58" s="219"/>
      <c r="I58" s="219"/>
      <c r="J58" s="238" t="s">
        <v>202</v>
      </c>
      <c r="K58" s="238"/>
      <c r="L58" s="238"/>
      <c r="M58" s="238"/>
      <c r="N58" s="238"/>
      <c r="O58" s="238"/>
      <c r="P58" s="51"/>
      <c r="Q58" s="51"/>
      <c r="R58" s="51"/>
      <c r="S58" s="51"/>
      <c r="T58" s="69">
        <f t="shared" ref="T58:T61" si="4">P58+Q58+R58+S58</f>
        <v>0</v>
      </c>
    </row>
    <row r="59" spans="1:20" ht="9.75" customHeight="1" x14ac:dyDescent="0.2">
      <c r="A59" s="223"/>
      <c r="B59" s="219"/>
      <c r="C59" s="219"/>
      <c r="D59" s="219"/>
      <c r="E59" s="219"/>
      <c r="F59" s="219"/>
      <c r="G59" s="219"/>
      <c r="H59" s="219"/>
      <c r="I59" s="219"/>
      <c r="J59" s="238" t="s">
        <v>203</v>
      </c>
      <c r="K59" s="238"/>
      <c r="L59" s="238"/>
      <c r="M59" s="238"/>
      <c r="N59" s="238"/>
      <c r="O59" s="238"/>
      <c r="P59" s="51"/>
      <c r="Q59" s="51"/>
      <c r="R59" s="51"/>
      <c r="S59" s="51"/>
      <c r="T59" s="69">
        <f t="shared" si="4"/>
        <v>0</v>
      </c>
    </row>
    <row r="60" spans="1:20" ht="9.75" customHeight="1" x14ac:dyDescent="0.2">
      <c r="A60" s="223"/>
      <c r="B60" s="219"/>
      <c r="C60" s="219"/>
      <c r="D60" s="219"/>
      <c r="E60" s="219"/>
      <c r="F60" s="219"/>
      <c r="G60" s="219"/>
      <c r="H60" s="219"/>
      <c r="I60" s="219"/>
      <c r="J60" s="238" t="s">
        <v>204</v>
      </c>
      <c r="K60" s="238"/>
      <c r="L60" s="238"/>
      <c r="M60" s="238"/>
      <c r="N60" s="238"/>
      <c r="O60" s="238"/>
      <c r="P60" s="51"/>
      <c r="Q60" s="51"/>
      <c r="R60" s="51"/>
      <c r="S60" s="51"/>
      <c r="T60" s="69">
        <f t="shared" si="4"/>
        <v>0</v>
      </c>
    </row>
    <row r="61" spans="1:20" ht="78" customHeight="1" x14ac:dyDescent="0.2">
      <c r="A61" s="244"/>
      <c r="B61" s="256"/>
      <c r="C61" s="256"/>
      <c r="D61" s="256"/>
      <c r="E61" s="256"/>
      <c r="F61" s="256"/>
      <c r="G61" s="256"/>
      <c r="H61" s="256"/>
      <c r="I61" s="256"/>
      <c r="J61" s="245" t="s">
        <v>205</v>
      </c>
      <c r="K61" s="245"/>
      <c r="L61" s="245"/>
      <c r="M61" s="245"/>
      <c r="N61" s="245"/>
      <c r="O61" s="245"/>
      <c r="P61" s="52"/>
      <c r="Q61" s="52"/>
      <c r="R61" s="52"/>
      <c r="S61" s="52"/>
      <c r="T61" s="69">
        <f t="shared" si="4"/>
        <v>0</v>
      </c>
    </row>
    <row r="62" spans="1:20" ht="16.5" customHeight="1" x14ac:dyDescent="0.2">
      <c r="A62" s="3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56"/>
      <c r="M62" s="56"/>
      <c r="N62" s="56"/>
      <c r="O62" s="56"/>
      <c r="P62" s="57"/>
      <c r="Q62" s="55"/>
      <c r="R62" s="55"/>
      <c r="S62" s="71"/>
      <c r="T62" s="73">
        <f>T57+T58+T59+T61</f>
        <v>0</v>
      </c>
    </row>
    <row r="63" spans="1:20" ht="18" customHeight="1" x14ac:dyDescent="0.2">
      <c r="A63" s="243" t="s">
        <v>89</v>
      </c>
      <c r="B63" s="249" t="s">
        <v>88</v>
      </c>
      <c r="C63" s="250"/>
      <c r="D63" s="250"/>
      <c r="E63" s="250"/>
      <c r="F63" s="250"/>
      <c r="G63" s="250"/>
      <c r="H63" s="250"/>
      <c r="I63" s="250"/>
      <c r="J63" s="237" t="s">
        <v>206</v>
      </c>
      <c r="K63" s="237"/>
      <c r="L63" s="237"/>
      <c r="M63" s="237"/>
      <c r="N63" s="237"/>
      <c r="O63" s="237"/>
      <c r="P63" s="50">
        <v>3</v>
      </c>
      <c r="Q63" s="50"/>
      <c r="R63" s="50"/>
      <c r="S63" s="50"/>
      <c r="T63" s="74">
        <f>P63+Q63+R63+S63</f>
        <v>3</v>
      </c>
    </row>
    <row r="64" spans="1:20" ht="10.5" customHeight="1" x14ac:dyDescent="0.2">
      <c r="A64" s="223"/>
      <c r="B64" s="251"/>
      <c r="C64" s="252"/>
      <c r="D64" s="252"/>
      <c r="E64" s="252"/>
      <c r="F64" s="252"/>
      <c r="G64" s="252"/>
      <c r="H64" s="252"/>
      <c r="I64" s="252"/>
      <c r="J64" s="238" t="s">
        <v>207</v>
      </c>
      <c r="K64" s="238"/>
      <c r="L64" s="238"/>
      <c r="M64" s="238"/>
      <c r="N64" s="238"/>
      <c r="O64" s="238"/>
      <c r="P64" s="51"/>
      <c r="Q64" s="51"/>
      <c r="R64" s="51"/>
      <c r="S64" s="51"/>
      <c r="T64" s="74">
        <f t="shared" ref="T64:T67" si="5">P64+Q64+R64+S64</f>
        <v>0</v>
      </c>
    </row>
    <row r="65" spans="1:20" ht="10.5" customHeight="1" x14ac:dyDescent="0.2">
      <c r="A65" s="223"/>
      <c r="B65" s="251"/>
      <c r="C65" s="252"/>
      <c r="D65" s="252"/>
      <c r="E65" s="252"/>
      <c r="F65" s="252"/>
      <c r="G65" s="252"/>
      <c r="H65" s="252"/>
      <c r="I65" s="252"/>
      <c r="J65" s="238" t="s">
        <v>208</v>
      </c>
      <c r="K65" s="238"/>
      <c r="L65" s="238"/>
      <c r="M65" s="238"/>
      <c r="N65" s="238"/>
      <c r="O65" s="238"/>
      <c r="P65" s="51"/>
      <c r="Q65" s="51"/>
      <c r="R65" s="51"/>
      <c r="S65" s="51"/>
      <c r="T65" s="74">
        <f t="shared" si="5"/>
        <v>0</v>
      </c>
    </row>
    <row r="66" spans="1:20" ht="10.5" customHeight="1" x14ac:dyDescent="0.2">
      <c r="A66" s="223"/>
      <c r="B66" s="251"/>
      <c r="C66" s="252"/>
      <c r="D66" s="252"/>
      <c r="E66" s="252"/>
      <c r="F66" s="252"/>
      <c r="G66" s="252"/>
      <c r="H66" s="252"/>
      <c r="I66" s="252"/>
      <c r="J66" s="238" t="s">
        <v>209</v>
      </c>
      <c r="K66" s="238"/>
      <c r="L66" s="238"/>
      <c r="M66" s="238"/>
      <c r="N66" s="238"/>
      <c r="O66" s="238"/>
      <c r="P66" s="51"/>
      <c r="Q66" s="51"/>
      <c r="R66" s="51"/>
      <c r="S66" s="51"/>
      <c r="T66" s="74">
        <f t="shared" si="5"/>
        <v>0</v>
      </c>
    </row>
    <row r="67" spans="1:20" ht="13.5" customHeight="1" x14ac:dyDescent="0.2">
      <c r="A67" s="244"/>
      <c r="B67" s="253"/>
      <c r="C67" s="254"/>
      <c r="D67" s="254"/>
      <c r="E67" s="254"/>
      <c r="F67" s="254"/>
      <c r="G67" s="254"/>
      <c r="H67" s="254"/>
      <c r="I67" s="254"/>
      <c r="J67" s="239" t="s">
        <v>210</v>
      </c>
      <c r="K67" s="239"/>
      <c r="L67" s="239"/>
      <c r="M67" s="239"/>
      <c r="N67" s="239"/>
      <c r="O67" s="239"/>
      <c r="P67" s="52"/>
      <c r="Q67" s="52"/>
      <c r="R67" s="52"/>
      <c r="S67" s="52"/>
      <c r="T67" s="74">
        <f t="shared" si="5"/>
        <v>0</v>
      </c>
    </row>
    <row r="68" spans="1:20" ht="21.75" customHeight="1" x14ac:dyDescent="0.2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56"/>
      <c r="M68" s="56"/>
      <c r="N68" s="56"/>
      <c r="O68" s="56"/>
      <c r="P68" s="57"/>
      <c r="Q68" s="55"/>
      <c r="R68" s="55"/>
      <c r="S68" s="71"/>
      <c r="T68" s="114">
        <f>T63+T64+T66+T67</f>
        <v>3</v>
      </c>
    </row>
    <row r="69" spans="1:20" ht="12" customHeight="1" x14ac:dyDescent="0.2">
      <c r="A69" s="243" t="s">
        <v>87</v>
      </c>
      <c r="B69" s="255" t="s">
        <v>90</v>
      </c>
      <c r="C69" s="255"/>
      <c r="D69" s="255"/>
      <c r="E69" s="255"/>
      <c r="F69" s="255"/>
      <c r="G69" s="255"/>
      <c r="H69" s="255"/>
      <c r="I69" s="255"/>
      <c r="J69" s="237" t="s">
        <v>207</v>
      </c>
      <c r="K69" s="237"/>
      <c r="L69" s="237"/>
      <c r="M69" s="237"/>
      <c r="N69" s="237"/>
      <c r="O69" s="237"/>
      <c r="P69" s="50"/>
      <c r="Q69" s="50"/>
      <c r="R69" s="50"/>
      <c r="S69" s="69"/>
      <c r="T69" s="115">
        <f>P69+Q69+R69+S69</f>
        <v>0</v>
      </c>
    </row>
    <row r="70" spans="1:20" ht="12" customHeight="1" x14ac:dyDescent="0.2">
      <c r="A70" s="223"/>
      <c r="B70" s="219"/>
      <c r="C70" s="219"/>
      <c r="D70" s="219"/>
      <c r="E70" s="219"/>
      <c r="F70" s="219"/>
      <c r="G70" s="219"/>
      <c r="H70" s="219"/>
      <c r="I70" s="219"/>
      <c r="J70" s="238" t="s">
        <v>211</v>
      </c>
      <c r="K70" s="238"/>
      <c r="L70" s="238"/>
      <c r="M70" s="238"/>
      <c r="N70" s="238"/>
      <c r="O70" s="238"/>
      <c r="P70" s="16"/>
      <c r="Q70" s="116"/>
      <c r="R70" s="51"/>
      <c r="S70" s="117"/>
      <c r="T70" s="115">
        <f t="shared" ref="T70:T72" si="6">P70+Q70+R70+S70</f>
        <v>0</v>
      </c>
    </row>
    <row r="71" spans="1:20" ht="12" customHeight="1" x14ac:dyDescent="0.2">
      <c r="A71" s="223"/>
      <c r="B71" s="219"/>
      <c r="C71" s="219"/>
      <c r="D71" s="219"/>
      <c r="E71" s="219"/>
      <c r="F71" s="219"/>
      <c r="G71" s="219"/>
      <c r="H71" s="219"/>
      <c r="I71" s="219"/>
      <c r="J71" s="238" t="s">
        <v>203</v>
      </c>
      <c r="K71" s="238"/>
      <c r="L71" s="238"/>
      <c r="M71" s="238"/>
      <c r="N71" s="238"/>
      <c r="O71" s="238"/>
      <c r="P71" s="16"/>
      <c r="Q71" s="116"/>
      <c r="R71" s="51"/>
      <c r="S71" s="117"/>
      <c r="T71" s="115">
        <f t="shared" si="6"/>
        <v>0</v>
      </c>
    </row>
    <row r="72" spans="1:20" ht="12" customHeight="1" x14ac:dyDescent="0.2">
      <c r="A72" s="244"/>
      <c r="B72" s="256"/>
      <c r="C72" s="256"/>
      <c r="D72" s="256"/>
      <c r="E72" s="256"/>
      <c r="F72" s="256"/>
      <c r="G72" s="256"/>
      <c r="H72" s="256"/>
      <c r="I72" s="256"/>
      <c r="J72" s="239" t="s">
        <v>212</v>
      </c>
      <c r="K72" s="239"/>
      <c r="L72" s="239"/>
      <c r="M72" s="239"/>
      <c r="N72" s="239"/>
      <c r="O72" s="239"/>
      <c r="P72" s="96"/>
      <c r="Q72" s="118"/>
      <c r="R72" s="52"/>
      <c r="S72" s="119"/>
      <c r="T72" s="115">
        <f t="shared" si="6"/>
        <v>0</v>
      </c>
    </row>
    <row r="73" spans="1:20" ht="9.75" customHeight="1" x14ac:dyDescent="0.2">
      <c r="A73" s="37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56"/>
      <c r="M73" s="56"/>
      <c r="N73" s="56"/>
      <c r="O73" s="56"/>
      <c r="P73" s="97"/>
      <c r="Q73" s="120"/>
      <c r="R73" s="121"/>
      <c r="S73" s="121"/>
      <c r="T73" s="122">
        <f>T69+T70+T71+T72</f>
        <v>0</v>
      </c>
    </row>
    <row r="74" spans="1:20" ht="21.75" customHeight="1" x14ac:dyDescent="0.2">
      <c r="A74" s="246" t="s">
        <v>213</v>
      </c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8"/>
      <c r="T74" s="123">
        <f>T44+T50+T62+T73</f>
        <v>560</v>
      </c>
    </row>
    <row r="75" spans="1:20" ht="9" customHeight="1" x14ac:dyDescent="0.2">
      <c r="A75" s="364" t="s">
        <v>214</v>
      </c>
      <c r="B75" s="365"/>
      <c r="C75" s="366"/>
      <c r="D75" s="370" t="s">
        <v>14</v>
      </c>
      <c r="E75" s="371"/>
      <c r="F75" s="371"/>
      <c r="G75" s="371"/>
      <c r="H75" s="365"/>
      <c r="I75" s="365"/>
      <c r="J75" s="365"/>
      <c r="K75" s="366"/>
      <c r="L75" s="220" t="s">
        <v>185</v>
      </c>
      <c r="M75" s="220"/>
      <c r="N75" s="226" t="s">
        <v>186</v>
      </c>
      <c r="O75" s="226"/>
      <c r="P75" s="240" t="s">
        <v>187</v>
      </c>
      <c r="Q75" s="240"/>
      <c r="R75" s="241" t="s">
        <v>188</v>
      </c>
      <c r="S75" s="242"/>
      <c r="T75" s="314" t="s">
        <v>215</v>
      </c>
    </row>
    <row r="76" spans="1:20" ht="17.25" customHeight="1" x14ac:dyDescent="0.2">
      <c r="A76" s="367"/>
      <c r="B76" s="368"/>
      <c r="C76" s="369"/>
      <c r="D76" s="372"/>
      <c r="E76" s="368"/>
      <c r="F76" s="368"/>
      <c r="G76" s="368"/>
      <c r="H76" s="368"/>
      <c r="I76" s="368"/>
      <c r="J76" s="368"/>
      <c r="K76" s="369"/>
      <c r="L76" s="47" t="s">
        <v>216</v>
      </c>
      <c r="M76" s="47" t="s">
        <v>217</v>
      </c>
      <c r="N76" s="47" t="s">
        <v>216</v>
      </c>
      <c r="O76" s="47" t="s">
        <v>217</v>
      </c>
      <c r="P76" s="18" t="s">
        <v>216</v>
      </c>
      <c r="Q76" s="18" t="s">
        <v>217</v>
      </c>
      <c r="R76" s="18" t="s">
        <v>216</v>
      </c>
      <c r="S76" s="18" t="s">
        <v>217</v>
      </c>
      <c r="T76" s="315"/>
    </row>
    <row r="77" spans="1:20" ht="11.25" customHeight="1" x14ac:dyDescent="0.2">
      <c r="A77" s="223" t="s">
        <v>71</v>
      </c>
      <c r="B77" s="360" t="s">
        <v>218</v>
      </c>
      <c r="C77" s="361"/>
      <c r="D77" s="209" t="s">
        <v>219</v>
      </c>
      <c r="E77" s="209"/>
      <c r="F77" s="209"/>
      <c r="G77" s="209"/>
      <c r="H77" s="209"/>
      <c r="I77" s="209"/>
      <c r="J77" s="209"/>
      <c r="K77" s="209"/>
      <c r="L77" s="98">
        <v>10</v>
      </c>
      <c r="M77" s="98"/>
      <c r="N77" s="99"/>
      <c r="O77" s="99"/>
      <c r="P77" s="51"/>
      <c r="Q77" s="51"/>
      <c r="R77" s="51"/>
      <c r="S77" s="51"/>
      <c r="T77" s="117">
        <f>L77+M77+N77+O77+P77+Q77+R77+S77</f>
        <v>10</v>
      </c>
    </row>
    <row r="78" spans="1:20" ht="11.25" customHeight="1" x14ac:dyDescent="0.2">
      <c r="A78" s="223"/>
      <c r="B78" s="362"/>
      <c r="C78" s="363"/>
      <c r="D78" s="209" t="s">
        <v>220</v>
      </c>
      <c r="E78" s="209"/>
      <c r="F78" s="209"/>
      <c r="G78" s="209"/>
      <c r="H78" s="209"/>
      <c r="I78" s="209"/>
      <c r="J78" s="209"/>
      <c r="K78" s="209"/>
      <c r="L78" s="98"/>
      <c r="M78" s="98"/>
      <c r="N78" s="99"/>
      <c r="O78" s="99"/>
      <c r="P78" s="51"/>
      <c r="Q78" s="51"/>
      <c r="R78" s="51"/>
      <c r="S78" s="51"/>
      <c r="T78" s="117">
        <f t="shared" ref="T78:T81" si="7">L78+M78+N78+O78+P78+Q78+R78+S78</f>
        <v>0</v>
      </c>
    </row>
    <row r="79" spans="1:20" ht="11.25" customHeight="1" x14ac:dyDescent="0.2">
      <c r="A79" s="223"/>
      <c r="B79" s="362"/>
      <c r="C79" s="363"/>
      <c r="D79" s="209" t="s">
        <v>221</v>
      </c>
      <c r="E79" s="209"/>
      <c r="F79" s="209"/>
      <c r="G79" s="209"/>
      <c r="H79" s="209"/>
      <c r="I79" s="209"/>
      <c r="J79" s="209"/>
      <c r="K79" s="209"/>
      <c r="L79" s="98"/>
      <c r="M79" s="98"/>
      <c r="N79" s="99"/>
      <c r="O79" s="99"/>
      <c r="P79" s="51"/>
      <c r="Q79" s="51"/>
      <c r="R79" s="51"/>
      <c r="S79" s="51"/>
      <c r="T79" s="117">
        <f t="shared" si="7"/>
        <v>0</v>
      </c>
    </row>
    <row r="80" spans="1:20" ht="11.25" customHeight="1" x14ac:dyDescent="0.2">
      <c r="A80" s="223"/>
      <c r="B80" s="362"/>
      <c r="C80" s="363"/>
      <c r="D80" s="209" t="s">
        <v>222</v>
      </c>
      <c r="E80" s="209"/>
      <c r="F80" s="209"/>
      <c r="G80" s="209"/>
      <c r="H80" s="209"/>
      <c r="I80" s="209"/>
      <c r="J80" s="209"/>
      <c r="K80" s="209"/>
      <c r="L80" s="98"/>
      <c r="M80" s="98"/>
      <c r="N80" s="99"/>
      <c r="O80" s="99"/>
      <c r="P80" s="51"/>
      <c r="Q80" s="51"/>
      <c r="R80" s="51"/>
      <c r="S80" s="51"/>
      <c r="T80" s="117">
        <f t="shared" si="7"/>
        <v>0</v>
      </c>
    </row>
    <row r="81" spans="1:20" ht="11.25" customHeight="1" x14ac:dyDescent="0.2">
      <c r="A81" s="223"/>
      <c r="B81" s="362"/>
      <c r="C81" s="363"/>
      <c r="D81" s="219" t="s">
        <v>223</v>
      </c>
      <c r="E81" s="219"/>
      <c r="F81" s="219"/>
      <c r="G81" s="219"/>
      <c r="H81" s="219"/>
      <c r="I81" s="219"/>
      <c r="J81" s="219"/>
      <c r="K81" s="219"/>
      <c r="L81" s="98"/>
      <c r="M81" s="98"/>
      <c r="N81" s="16"/>
      <c r="O81" s="16"/>
      <c r="P81" s="16"/>
      <c r="Q81" s="116"/>
      <c r="R81" s="51"/>
      <c r="S81" s="51"/>
      <c r="T81" s="117">
        <f t="shared" si="7"/>
        <v>0</v>
      </c>
    </row>
    <row r="82" spans="1:20" ht="23.25" customHeight="1" x14ac:dyDescent="0.2">
      <c r="A82" s="76"/>
      <c r="B82" s="77"/>
      <c r="C82" s="78"/>
      <c r="D82" s="40"/>
      <c r="E82" s="41"/>
      <c r="F82" s="41"/>
      <c r="G82" s="41"/>
      <c r="H82" s="41"/>
      <c r="I82" s="41"/>
      <c r="J82" s="41"/>
      <c r="K82" s="41"/>
      <c r="L82" s="41"/>
      <c r="M82" s="100"/>
      <c r="N82" s="97"/>
      <c r="O82" s="97"/>
      <c r="P82" s="97"/>
      <c r="Q82" s="120"/>
      <c r="R82" s="124"/>
      <c r="S82" s="125"/>
      <c r="T82" s="70">
        <f>T77+T78+T79+T80+T81</f>
        <v>10</v>
      </c>
    </row>
    <row r="83" spans="1:20" ht="15" customHeight="1" x14ac:dyDescent="0.2">
      <c r="A83" s="243" t="s">
        <v>79</v>
      </c>
      <c r="B83" s="324" t="s">
        <v>224</v>
      </c>
      <c r="C83" s="325"/>
      <c r="D83" s="298" t="s">
        <v>225</v>
      </c>
      <c r="E83" s="298"/>
      <c r="F83" s="298"/>
      <c r="G83" s="298"/>
      <c r="H83" s="298"/>
      <c r="I83" s="298"/>
      <c r="J83" s="298"/>
      <c r="K83" s="298"/>
      <c r="L83" s="101"/>
      <c r="M83" s="101"/>
      <c r="N83" s="102"/>
      <c r="O83" s="102"/>
      <c r="P83" s="102"/>
      <c r="Q83" s="126"/>
      <c r="R83" s="126"/>
      <c r="S83" s="126"/>
      <c r="T83" s="69">
        <f>L83+M83+N83+O83+P83+Q83+R83+S83</f>
        <v>0</v>
      </c>
    </row>
    <row r="84" spans="1:20" ht="15" customHeight="1" x14ac:dyDescent="0.2">
      <c r="A84" s="223"/>
      <c r="B84" s="331"/>
      <c r="C84" s="331"/>
      <c r="D84" s="209" t="s">
        <v>226</v>
      </c>
      <c r="E84" s="209"/>
      <c r="F84" s="209"/>
      <c r="G84" s="209"/>
      <c r="H84" s="209"/>
      <c r="I84" s="209"/>
      <c r="J84" s="209"/>
      <c r="K84" s="209"/>
      <c r="L84" s="98"/>
      <c r="M84" s="98"/>
      <c r="N84" s="16"/>
      <c r="O84" s="16"/>
      <c r="P84" s="16"/>
      <c r="Q84" s="116"/>
      <c r="R84" s="116"/>
      <c r="S84" s="116"/>
      <c r="T84" s="69">
        <f t="shared" ref="T84:T87" si="8">L84+M84+N84+O84+P84+Q84+R84+S84</f>
        <v>0</v>
      </c>
    </row>
    <row r="85" spans="1:20" ht="15" customHeight="1" x14ac:dyDescent="0.2">
      <c r="A85" s="223"/>
      <c r="B85" s="331"/>
      <c r="C85" s="331"/>
      <c r="D85" s="209" t="s">
        <v>227</v>
      </c>
      <c r="E85" s="209"/>
      <c r="F85" s="209"/>
      <c r="G85" s="209"/>
      <c r="H85" s="209"/>
      <c r="I85" s="209"/>
      <c r="J85" s="209"/>
      <c r="K85" s="209"/>
      <c r="L85" s="98"/>
      <c r="M85" s="98"/>
      <c r="N85" s="16"/>
      <c r="O85" s="16"/>
      <c r="P85" s="16"/>
      <c r="Q85" s="116"/>
      <c r="R85" s="116"/>
      <c r="S85" s="116"/>
      <c r="T85" s="69">
        <f t="shared" si="8"/>
        <v>0</v>
      </c>
    </row>
    <row r="86" spans="1:20" ht="15" customHeight="1" x14ac:dyDescent="0.2">
      <c r="A86" s="223"/>
      <c r="B86" s="331"/>
      <c r="C86" s="331"/>
      <c r="D86" s="209" t="s">
        <v>228</v>
      </c>
      <c r="E86" s="209"/>
      <c r="F86" s="209"/>
      <c r="G86" s="209"/>
      <c r="H86" s="209"/>
      <c r="I86" s="209"/>
      <c r="J86" s="209"/>
      <c r="K86" s="209"/>
      <c r="L86" s="98"/>
      <c r="M86" s="98"/>
      <c r="N86" s="16"/>
      <c r="O86" s="16"/>
      <c r="P86" s="16"/>
      <c r="Q86" s="116"/>
      <c r="R86" s="116"/>
      <c r="S86" s="116"/>
      <c r="T86" s="69">
        <f t="shared" si="8"/>
        <v>0</v>
      </c>
    </row>
    <row r="87" spans="1:20" ht="15" customHeight="1" x14ac:dyDescent="0.2">
      <c r="A87" s="244"/>
      <c r="B87" s="326"/>
      <c r="C87" s="326"/>
      <c r="D87" s="256" t="s">
        <v>229</v>
      </c>
      <c r="E87" s="256"/>
      <c r="F87" s="256"/>
      <c r="G87" s="256"/>
      <c r="H87" s="256"/>
      <c r="I87" s="256"/>
      <c r="J87" s="256"/>
      <c r="K87" s="256"/>
      <c r="L87" s="103"/>
      <c r="M87" s="103"/>
      <c r="N87" s="96"/>
      <c r="O87" s="96"/>
      <c r="P87" s="96"/>
      <c r="Q87" s="118"/>
      <c r="R87" s="118"/>
      <c r="S87" s="118"/>
      <c r="T87" s="69">
        <f t="shared" si="8"/>
        <v>0</v>
      </c>
    </row>
    <row r="88" spans="1:20" ht="19.5" customHeight="1" x14ac:dyDescent="0.2">
      <c r="A88" s="76"/>
      <c r="B88" s="77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97"/>
      <c r="O88" s="97"/>
      <c r="P88" s="97"/>
      <c r="Q88" s="120"/>
      <c r="R88" s="124"/>
      <c r="S88" s="125"/>
      <c r="T88" s="127">
        <f>T83+T84+T85+T86+T87</f>
        <v>0</v>
      </c>
    </row>
    <row r="89" spans="1:20" ht="12" customHeight="1" x14ac:dyDescent="0.2">
      <c r="A89" s="243" t="s">
        <v>81</v>
      </c>
      <c r="B89" s="324" t="s">
        <v>100</v>
      </c>
      <c r="C89" s="324"/>
      <c r="D89" s="298" t="s">
        <v>230</v>
      </c>
      <c r="E89" s="298"/>
      <c r="F89" s="298"/>
      <c r="G89" s="298"/>
      <c r="H89" s="298"/>
      <c r="I89" s="298"/>
      <c r="J89" s="298"/>
      <c r="K89" s="298"/>
      <c r="L89" s="101"/>
      <c r="M89" s="101"/>
      <c r="N89" s="102"/>
      <c r="O89" s="102"/>
      <c r="P89" s="102"/>
      <c r="Q89" s="126"/>
      <c r="R89" s="126"/>
      <c r="S89" s="126"/>
      <c r="T89" s="128">
        <f>L89+M89+N89+O89+P89+Q89+R89+S89</f>
        <v>0</v>
      </c>
    </row>
    <row r="90" spans="1:20" ht="12" customHeight="1" x14ac:dyDescent="0.2">
      <c r="A90" s="223"/>
      <c r="B90" s="224"/>
      <c r="C90" s="224"/>
      <c r="D90" s="209" t="s">
        <v>231</v>
      </c>
      <c r="E90" s="209"/>
      <c r="F90" s="209"/>
      <c r="G90" s="209"/>
      <c r="H90" s="209"/>
      <c r="I90" s="209"/>
      <c r="J90" s="209"/>
      <c r="K90" s="209"/>
      <c r="L90" s="98"/>
      <c r="M90" s="98"/>
      <c r="N90" s="16"/>
      <c r="O90" s="16"/>
      <c r="P90" s="16"/>
      <c r="Q90" s="116"/>
      <c r="R90" s="116"/>
      <c r="S90" s="116"/>
      <c r="T90" s="128">
        <f t="shared" ref="T90:T92" si="9">L90+M90+N90+O90+P90+Q90+R90+S90</f>
        <v>0</v>
      </c>
    </row>
    <row r="91" spans="1:20" ht="12" customHeight="1" x14ac:dyDescent="0.2">
      <c r="A91" s="223"/>
      <c r="B91" s="224"/>
      <c r="C91" s="224"/>
      <c r="D91" s="209" t="s">
        <v>232</v>
      </c>
      <c r="E91" s="209"/>
      <c r="F91" s="209"/>
      <c r="G91" s="209"/>
      <c r="H91" s="209"/>
      <c r="I91" s="209"/>
      <c r="J91" s="209"/>
      <c r="K91" s="209"/>
      <c r="L91" s="98"/>
      <c r="M91" s="98"/>
      <c r="N91" s="16"/>
      <c r="O91" s="16"/>
      <c r="P91" s="16"/>
      <c r="Q91" s="116"/>
      <c r="R91" s="116"/>
      <c r="S91" s="116"/>
      <c r="T91" s="128">
        <f t="shared" si="9"/>
        <v>0</v>
      </c>
    </row>
    <row r="92" spans="1:20" ht="12" customHeight="1" x14ac:dyDescent="0.2">
      <c r="A92" s="244"/>
      <c r="B92" s="359"/>
      <c r="C92" s="359"/>
      <c r="D92" s="286" t="s">
        <v>233</v>
      </c>
      <c r="E92" s="286"/>
      <c r="F92" s="286"/>
      <c r="G92" s="286"/>
      <c r="H92" s="286"/>
      <c r="I92" s="286"/>
      <c r="J92" s="286"/>
      <c r="K92" s="286"/>
      <c r="L92" s="104"/>
      <c r="M92" s="104"/>
      <c r="N92" s="96"/>
      <c r="O92" s="96"/>
      <c r="P92" s="96"/>
      <c r="Q92" s="118"/>
      <c r="R92" s="118"/>
      <c r="S92" s="118"/>
      <c r="T92" s="128">
        <f t="shared" si="9"/>
        <v>0</v>
      </c>
    </row>
    <row r="93" spans="1:20" ht="12" customHeight="1" x14ac:dyDescent="0.2">
      <c r="A93" s="37"/>
      <c r="B93" s="80"/>
      <c r="C93" s="39"/>
      <c r="D93" s="81"/>
      <c r="E93" s="81"/>
      <c r="F93" s="81"/>
      <c r="G93" s="81"/>
      <c r="H93" s="81"/>
      <c r="I93" s="105"/>
      <c r="J93" s="105"/>
      <c r="K93" s="105"/>
      <c r="L93" s="81"/>
      <c r="M93" s="81"/>
      <c r="N93" s="97"/>
      <c r="O93" s="97"/>
      <c r="P93" s="97"/>
      <c r="Q93" s="75"/>
      <c r="R93" s="121"/>
      <c r="S93" s="124"/>
      <c r="T93" s="129">
        <f>T89+T90+T91+T92</f>
        <v>0</v>
      </c>
    </row>
    <row r="94" spans="1:20" ht="12.75" customHeight="1" x14ac:dyDescent="0.2">
      <c r="A94" s="296" t="s">
        <v>87</v>
      </c>
      <c r="B94" s="358" t="s">
        <v>101</v>
      </c>
      <c r="C94" s="358"/>
      <c r="D94" s="298" t="s">
        <v>234</v>
      </c>
      <c r="E94" s="298"/>
      <c r="F94" s="298"/>
      <c r="G94" s="298"/>
      <c r="H94" s="298"/>
      <c r="I94" s="298"/>
      <c r="J94" s="298"/>
      <c r="K94" s="298"/>
      <c r="L94" s="101"/>
      <c r="M94" s="101"/>
      <c r="N94" s="102"/>
      <c r="O94" s="102"/>
      <c r="P94" s="102"/>
      <c r="Q94" s="126"/>
      <c r="R94" s="126"/>
      <c r="S94" s="126"/>
      <c r="T94" s="128">
        <f>L94+M94+N94+O94+P94+Q94+R94+S94</f>
        <v>0</v>
      </c>
    </row>
    <row r="95" spans="1:20" ht="12.75" customHeight="1" x14ac:dyDescent="0.2">
      <c r="A95" s="297"/>
      <c r="B95" s="343"/>
      <c r="C95" s="343"/>
      <c r="D95" s="286"/>
      <c r="E95" s="286"/>
      <c r="F95" s="286"/>
      <c r="G95" s="286"/>
      <c r="H95" s="286"/>
      <c r="I95" s="286"/>
      <c r="J95" s="286"/>
      <c r="K95" s="286"/>
      <c r="L95" s="106"/>
      <c r="M95" s="106"/>
      <c r="N95" s="96"/>
      <c r="O95" s="96"/>
      <c r="P95" s="96"/>
      <c r="Q95" s="118"/>
      <c r="R95" s="118"/>
      <c r="S95" s="118"/>
      <c r="T95" s="130"/>
    </row>
    <row r="96" spans="1:20" ht="0.75" customHeight="1" x14ac:dyDescent="0.2">
      <c r="A96" s="82"/>
      <c r="B96" s="83"/>
      <c r="C96" s="8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97"/>
      <c r="O96" s="97"/>
      <c r="P96" s="97"/>
      <c r="Q96" s="75"/>
      <c r="R96" s="131"/>
      <c r="S96" s="131"/>
      <c r="T96" s="132">
        <f>T94+T95</f>
        <v>0</v>
      </c>
    </row>
    <row r="97" spans="1:20" ht="15.75" customHeight="1" x14ac:dyDescent="0.2">
      <c r="A97" s="85" t="s">
        <v>89</v>
      </c>
      <c r="B97" s="299" t="s">
        <v>102</v>
      </c>
      <c r="C97" s="300"/>
      <c r="D97" s="301" t="s">
        <v>235</v>
      </c>
      <c r="E97" s="301"/>
      <c r="F97" s="301"/>
      <c r="G97" s="301"/>
      <c r="H97" s="301"/>
      <c r="I97" s="301"/>
      <c r="J97" s="301"/>
      <c r="K97" s="301"/>
      <c r="L97" s="107">
        <v>100</v>
      </c>
      <c r="M97" s="107"/>
      <c r="N97" s="108"/>
      <c r="O97" s="108"/>
      <c r="P97" s="108"/>
      <c r="Q97" s="133"/>
      <c r="R97" s="133"/>
      <c r="S97" s="133"/>
      <c r="T97" s="134">
        <f>L97+M97+N97+O97+P97+Q97+R97+S97</f>
        <v>100</v>
      </c>
    </row>
    <row r="98" spans="1:20" ht="12.75" customHeight="1" x14ac:dyDescent="0.2">
      <c r="A98" s="302" t="s">
        <v>236</v>
      </c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89"/>
      <c r="T98" s="134">
        <f>T82+T88+T93+T94+T97</f>
        <v>110</v>
      </c>
    </row>
    <row r="99" spans="1:20" ht="24" customHeight="1" x14ac:dyDescent="0.2">
      <c r="A99" s="304" t="s">
        <v>237</v>
      </c>
      <c r="B99" s="305"/>
      <c r="C99" s="305"/>
      <c r="D99" s="305"/>
      <c r="E99" s="305"/>
      <c r="F99" s="306"/>
      <c r="G99" s="307" t="s">
        <v>184</v>
      </c>
      <c r="H99" s="216"/>
      <c r="I99" s="216"/>
      <c r="J99" s="216"/>
      <c r="K99" s="216"/>
      <c r="L99" s="216"/>
      <c r="M99" s="216"/>
      <c r="N99" s="216"/>
      <c r="O99" s="216"/>
      <c r="P99" s="50" t="s">
        <v>185</v>
      </c>
      <c r="Q99" s="50" t="s">
        <v>186</v>
      </c>
      <c r="R99" s="50" t="s">
        <v>187</v>
      </c>
      <c r="S99" s="50" t="s">
        <v>188</v>
      </c>
      <c r="T99" s="69" t="s">
        <v>165</v>
      </c>
    </row>
    <row r="100" spans="1:20" ht="12" customHeight="1" x14ac:dyDescent="0.2">
      <c r="A100" s="19" t="s">
        <v>238</v>
      </c>
      <c r="B100" s="308" t="s">
        <v>239</v>
      </c>
      <c r="C100" s="257"/>
      <c r="D100" s="257"/>
      <c r="E100" s="257"/>
      <c r="F100" s="257"/>
      <c r="G100" s="257" t="s">
        <v>240</v>
      </c>
      <c r="H100" s="257"/>
      <c r="I100" s="257"/>
      <c r="J100" s="257"/>
      <c r="K100" s="257"/>
      <c r="L100" s="257"/>
      <c r="M100" s="257"/>
      <c r="N100" s="257"/>
      <c r="O100" s="257"/>
      <c r="P100" s="16">
        <v>60</v>
      </c>
      <c r="Q100" s="116"/>
      <c r="R100" s="116"/>
      <c r="S100" s="116"/>
      <c r="T100" s="135">
        <f>P100+Q100+R100+S100</f>
        <v>60</v>
      </c>
    </row>
    <row r="101" spans="1:20" ht="9.75" customHeight="1" x14ac:dyDescent="0.2">
      <c r="A101" s="223" t="s">
        <v>241</v>
      </c>
      <c r="B101" s="262" t="s">
        <v>242</v>
      </c>
      <c r="C101" s="263"/>
      <c r="D101" s="263"/>
      <c r="E101" s="263"/>
      <c r="F101" s="263"/>
      <c r="G101" s="257" t="s">
        <v>243</v>
      </c>
      <c r="H101" s="257"/>
      <c r="I101" s="257"/>
      <c r="J101" s="257"/>
      <c r="K101" s="257"/>
      <c r="L101" s="257"/>
      <c r="M101" s="257"/>
      <c r="N101" s="257"/>
      <c r="O101" s="257"/>
      <c r="P101" s="16"/>
      <c r="Q101" s="116"/>
      <c r="R101" s="116"/>
      <c r="S101" s="116"/>
      <c r="T101" s="135">
        <f t="shared" ref="T101:T103" si="10">P101+Q101+R101+S101</f>
        <v>0</v>
      </c>
    </row>
    <row r="102" spans="1:20" ht="9.75" customHeight="1" x14ac:dyDescent="0.2">
      <c r="A102" s="223"/>
      <c r="B102" s="263"/>
      <c r="C102" s="263"/>
      <c r="D102" s="263"/>
      <c r="E102" s="263"/>
      <c r="F102" s="263"/>
      <c r="G102" s="257" t="s">
        <v>244</v>
      </c>
      <c r="H102" s="257"/>
      <c r="I102" s="257"/>
      <c r="J102" s="257"/>
      <c r="K102" s="257"/>
      <c r="L102" s="257"/>
      <c r="M102" s="257"/>
      <c r="N102" s="257"/>
      <c r="O102" s="257"/>
      <c r="P102" s="16"/>
      <c r="Q102" s="116"/>
      <c r="R102" s="116"/>
      <c r="S102" s="116"/>
      <c r="T102" s="135">
        <f t="shared" si="10"/>
        <v>0</v>
      </c>
    </row>
    <row r="103" spans="1:20" ht="9.75" customHeight="1" x14ac:dyDescent="0.2">
      <c r="A103" s="223"/>
      <c r="B103" s="263"/>
      <c r="C103" s="263"/>
      <c r="D103" s="263"/>
      <c r="E103" s="263"/>
      <c r="F103" s="263"/>
      <c r="G103" s="257" t="s">
        <v>245</v>
      </c>
      <c r="H103" s="257"/>
      <c r="I103" s="257"/>
      <c r="J103" s="257"/>
      <c r="K103" s="257"/>
      <c r="L103" s="257"/>
      <c r="M103" s="257"/>
      <c r="N103" s="257"/>
      <c r="O103" s="257"/>
      <c r="P103" s="16"/>
      <c r="Q103" s="116"/>
      <c r="R103" s="116"/>
      <c r="S103" s="116"/>
      <c r="T103" s="135">
        <f t="shared" si="10"/>
        <v>0</v>
      </c>
    </row>
    <row r="104" spans="1:20" ht="9" customHeight="1" x14ac:dyDescent="0.2">
      <c r="A104" s="19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23"/>
      <c r="M104" s="23"/>
      <c r="N104" s="23"/>
      <c r="O104" s="23"/>
      <c r="P104" s="16"/>
      <c r="Q104" s="116"/>
      <c r="R104" s="136"/>
      <c r="S104" s="136"/>
      <c r="T104" s="137">
        <f>T100+T101+T102+T103</f>
        <v>60</v>
      </c>
    </row>
    <row r="105" spans="1:20" ht="9.75" customHeight="1" x14ac:dyDescent="0.2">
      <c r="A105" s="223" t="s">
        <v>246</v>
      </c>
      <c r="B105" s="262" t="s">
        <v>247</v>
      </c>
      <c r="C105" s="263"/>
      <c r="D105" s="263"/>
      <c r="E105" s="263"/>
      <c r="F105" s="263"/>
      <c r="G105" s="238" t="s">
        <v>248</v>
      </c>
      <c r="H105" s="238"/>
      <c r="I105" s="238"/>
      <c r="J105" s="238"/>
      <c r="K105" s="238"/>
      <c r="L105" s="238"/>
      <c r="M105" s="238"/>
      <c r="N105" s="238"/>
      <c r="O105" s="238"/>
      <c r="P105" s="16"/>
      <c r="Q105" s="116"/>
      <c r="R105" s="116"/>
      <c r="S105" s="116"/>
      <c r="T105" s="135">
        <f>P105+Q105+R105+S105</f>
        <v>0</v>
      </c>
    </row>
    <row r="106" spans="1:20" ht="9.75" customHeight="1" x14ac:dyDescent="0.2">
      <c r="A106" s="223"/>
      <c r="B106" s="263"/>
      <c r="C106" s="263"/>
      <c r="D106" s="263"/>
      <c r="E106" s="263"/>
      <c r="F106" s="263"/>
      <c r="G106" s="238" t="s">
        <v>249</v>
      </c>
      <c r="H106" s="238"/>
      <c r="I106" s="238"/>
      <c r="J106" s="238"/>
      <c r="K106" s="238"/>
      <c r="L106" s="238"/>
      <c r="M106" s="238"/>
      <c r="N106" s="238"/>
      <c r="O106" s="238"/>
      <c r="P106" s="16"/>
      <c r="Q106" s="116"/>
      <c r="R106" s="116"/>
      <c r="S106" s="116"/>
      <c r="T106" s="135">
        <f t="shared" ref="T106:T112" si="11">P106+Q106+R106+S106</f>
        <v>0</v>
      </c>
    </row>
    <row r="107" spans="1:20" ht="9.75" customHeight="1" x14ac:dyDescent="0.2">
      <c r="A107" s="223"/>
      <c r="B107" s="263"/>
      <c r="C107" s="263"/>
      <c r="D107" s="263"/>
      <c r="E107" s="263"/>
      <c r="F107" s="263"/>
      <c r="G107" s="238" t="s">
        <v>250</v>
      </c>
      <c r="H107" s="238"/>
      <c r="I107" s="238"/>
      <c r="J107" s="238"/>
      <c r="K107" s="238"/>
      <c r="L107" s="238"/>
      <c r="M107" s="238"/>
      <c r="N107" s="238"/>
      <c r="O107" s="238"/>
      <c r="P107" s="16">
        <v>30</v>
      </c>
      <c r="Q107" s="116"/>
      <c r="R107" s="116"/>
      <c r="S107" s="116"/>
      <c r="T107" s="135">
        <f t="shared" si="11"/>
        <v>30</v>
      </c>
    </row>
    <row r="108" spans="1:20" ht="9.75" customHeight="1" x14ac:dyDescent="0.2">
      <c r="A108" s="223"/>
      <c r="B108" s="263"/>
      <c r="C108" s="263"/>
      <c r="D108" s="263"/>
      <c r="E108" s="263"/>
      <c r="F108" s="263"/>
      <c r="G108" s="238" t="s">
        <v>251</v>
      </c>
      <c r="H108" s="238"/>
      <c r="I108" s="238"/>
      <c r="J108" s="238"/>
      <c r="K108" s="238"/>
      <c r="L108" s="238"/>
      <c r="M108" s="238"/>
      <c r="N108" s="238"/>
      <c r="O108" s="238"/>
      <c r="P108" s="16"/>
      <c r="Q108" s="116"/>
      <c r="R108" s="116"/>
      <c r="S108" s="116"/>
      <c r="T108" s="135">
        <f t="shared" si="11"/>
        <v>0</v>
      </c>
    </row>
    <row r="109" spans="1:20" ht="9.75" customHeight="1" x14ac:dyDescent="0.2">
      <c r="A109" s="223"/>
      <c r="B109" s="263"/>
      <c r="C109" s="263"/>
      <c r="D109" s="263"/>
      <c r="E109" s="263"/>
      <c r="F109" s="263"/>
      <c r="G109" s="238" t="s">
        <v>252</v>
      </c>
      <c r="H109" s="238"/>
      <c r="I109" s="238"/>
      <c r="J109" s="238"/>
      <c r="K109" s="238"/>
      <c r="L109" s="238"/>
      <c r="M109" s="238"/>
      <c r="N109" s="238"/>
      <c r="O109" s="238"/>
      <c r="P109" s="16"/>
      <c r="Q109" s="116"/>
      <c r="R109" s="116"/>
      <c r="S109" s="116"/>
      <c r="T109" s="135">
        <f t="shared" si="11"/>
        <v>0</v>
      </c>
    </row>
    <row r="110" spans="1:20" ht="9.75" customHeight="1" x14ac:dyDescent="0.2">
      <c r="A110" s="223"/>
      <c r="B110" s="263"/>
      <c r="C110" s="263"/>
      <c r="D110" s="263"/>
      <c r="E110" s="263"/>
      <c r="F110" s="263"/>
      <c r="G110" s="257" t="s">
        <v>253</v>
      </c>
      <c r="H110" s="257"/>
      <c r="I110" s="257"/>
      <c r="J110" s="257"/>
      <c r="K110" s="257"/>
      <c r="L110" s="257"/>
      <c r="M110" s="257"/>
      <c r="N110" s="257"/>
      <c r="O110" s="257"/>
      <c r="P110" s="16"/>
      <c r="Q110" s="116"/>
      <c r="R110" s="116"/>
      <c r="S110" s="116"/>
      <c r="T110" s="135">
        <f t="shared" si="11"/>
        <v>0</v>
      </c>
    </row>
    <row r="111" spans="1:20" ht="9.75" customHeight="1" x14ac:dyDescent="0.2">
      <c r="A111" s="223"/>
      <c r="B111" s="263"/>
      <c r="C111" s="263"/>
      <c r="D111" s="263"/>
      <c r="E111" s="263"/>
      <c r="F111" s="263"/>
      <c r="G111" s="257" t="s">
        <v>254</v>
      </c>
      <c r="H111" s="257"/>
      <c r="I111" s="257"/>
      <c r="J111" s="257"/>
      <c r="K111" s="257"/>
      <c r="L111" s="257"/>
      <c r="M111" s="257"/>
      <c r="N111" s="257"/>
      <c r="O111" s="257"/>
      <c r="P111" s="16"/>
      <c r="Q111" s="116"/>
      <c r="R111" s="116"/>
      <c r="S111" s="116"/>
      <c r="T111" s="135">
        <f t="shared" si="11"/>
        <v>0</v>
      </c>
    </row>
    <row r="112" spans="1:20" ht="9.75" customHeight="1" x14ac:dyDescent="0.2">
      <c r="A112" s="223"/>
      <c r="B112" s="263"/>
      <c r="C112" s="263"/>
      <c r="D112" s="263"/>
      <c r="E112" s="263"/>
      <c r="F112" s="263"/>
      <c r="G112" s="257" t="s">
        <v>255</v>
      </c>
      <c r="H112" s="257"/>
      <c r="I112" s="257"/>
      <c r="J112" s="257"/>
      <c r="K112" s="257"/>
      <c r="L112" s="257"/>
      <c r="M112" s="257"/>
      <c r="N112" s="257"/>
      <c r="O112" s="257"/>
      <c r="P112" s="16"/>
      <c r="Q112" s="116"/>
      <c r="R112" s="116"/>
      <c r="S112" s="116"/>
      <c r="T112" s="135">
        <f t="shared" si="11"/>
        <v>0</v>
      </c>
    </row>
    <row r="113" spans="1:20" ht="12" customHeight="1" x14ac:dyDescent="0.2">
      <c r="A113" s="19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23"/>
      <c r="M113" s="23"/>
      <c r="N113" s="23"/>
      <c r="O113" s="23"/>
      <c r="P113" s="16"/>
      <c r="Q113" s="116"/>
      <c r="R113" s="136"/>
      <c r="S113" s="136"/>
      <c r="T113" s="138">
        <f>T105+T106+T107+T108+T109+T110+T111+T112</f>
        <v>30</v>
      </c>
    </row>
    <row r="114" spans="1:20" ht="15" customHeight="1" x14ac:dyDescent="0.2">
      <c r="A114" s="223" t="s">
        <v>256</v>
      </c>
      <c r="B114" s="332" t="s">
        <v>257</v>
      </c>
      <c r="C114" s="332"/>
      <c r="D114" s="332"/>
      <c r="E114" s="332"/>
      <c r="F114" s="332"/>
      <c r="G114" s="238" t="s">
        <v>258</v>
      </c>
      <c r="H114" s="238"/>
      <c r="I114" s="238"/>
      <c r="J114" s="238"/>
      <c r="K114" s="238"/>
      <c r="L114" s="238"/>
      <c r="M114" s="238"/>
      <c r="N114" s="238"/>
      <c r="O114" s="238"/>
      <c r="P114" s="16">
        <v>150</v>
      </c>
      <c r="Q114" s="116"/>
      <c r="R114" s="116"/>
      <c r="S114" s="116"/>
      <c r="T114" s="135">
        <f>P114+Q114+R114+S114</f>
        <v>150</v>
      </c>
    </row>
    <row r="115" spans="1:20" ht="15" customHeight="1" x14ac:dyDescent="0.2">
      <c r="A115" s="244"/>
      <c r="B115" s="332"/>
      <c r="C115" s="332"/>
      <c r="D115" s="332"/>
      <c r="E115" s="332"/>
      <c r="F115" s="332"/>
      <c r="G115" s="238" t="s">
        <v>259</v>
      </c>
      <c r="H115" s="238"/>
      <c r="I115" s="238"/>
      <c r="J115" s="238"/>
      <c r="K115" s="238"/>
      <c r="L115" s="238"/>
      <c r="M115" s="238"/>
      <c r="N115" s="238"/>
      <c r="O115" s="238"/>
      <c r="P115" s="16"/>
      <c r="Q115" s="116"/>
      <c r="R115" s="116"/>
      <c r="S115" s="116"/>
      <c r="T115" s="139">
        <f>P115+Q115+R115+S116</f>
        <v>0</v>
      </c>
    </row>
    <row r="116" spans="1:20" ht="12" customHeight="1" x14ac:dyDescent="0.2">
      <c r="A116" s="87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109"/>
      <c r="M116" s="109"/>
      <c r="N116" s="109"/>
      <c r="O116" s="109"/>
      <c r="P116" s="110"/>
      <c r="Q116" s="140"/>
      <c r="R116" s="141"/>
      <c r="S116" s="142"/>
      <c r="T116" s="143">
        <f>T114+T115</f>
        <v>150</v>
      </c>
    </row>
    <row r="117" spans="1:20" ht="22.5" customHeight="1" x14ac:dyDescent="0.2">
      <c r="A117" s="258" t="s">
        <v>260</v>
      </c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60"/>
      <c r="T117" s="144">
        <f>T104+T113+T116</f>
        <v>240</v>
      </c>
    </row>
    <row r="118" spans="1:20" ht="15.75" customHeight="1" x14ac:dyDescent="0.2">
      <c r="A118" s="333" t="s">
        <v>261</v>
      </c>
      <c r="B118" s="261"/>
      <c r="C118" s="261"/>
      <c r="D118" s="261" t="s">
        <v>14</v>
      </c>
      <c r="E118" s="261"/>
      <c r="F118" s="261"/>
      <c r="G118" s="261"/>
      <c r="H118" s="261"/>
      <c r="I118" s="261"/>
      <c r="J118" s="261"/>
      <c r="K118" s="261"/>
      <c r="L118" s="261" t="s">
        <v>185</v>
      </c>
      <c r="M118" s="261"/>
      <c r="N118" s="226" t="s">
        <v>186</v>
      </c>
      <c r="O118" s="226"/>
      <c r="P118" s="240" t="s">
        <v>187</v>
      </c>
      <c r="Q118" s="240"/>
      <c r="R118" s="240" t="s">
        <v>188</v>
      </c>
      <c r="S118" s="240"/>
      <c r="T118" s="316" t="s">
        <v>165</v>
      </c>
    </row>
    <row r="119" spans="1:20" ht="18.75" customHeight="1" x14ac:dyDescent="0.2">
      <c r="A119" s="334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99" t="s">
        <v>216</v>
      </c>
      <c r="M119" s="99" t="s">
        <v>217</v>
      </c>
      <c r="N119" s="99" t="s">
        <v>216</v>
      </c>
      <c r="O119" s="99" t="s">
        <v>217</v>
      </c>
      <c r="P119" s="99" t="s">
        <v>216</v>
      </c>
      <c r="Q119" s="99" t="s">
        <v>217</v>
      </c>
      <c r="R119" s="99" t="s">
        <v>216</v>
      </c>
      <c r="S119" s="99" t="s">
        <v>217</v>
      </c>
      <c r="T119" s="315"/>
    </row>
    <row r="120" spans="1:20" ht="40.5" customHeight="1" x14ac:dyDescent="0.2">
      <c r="A120" s="19" t="s">
        <v>238</v>
      </c>
      <c r="B120" s="270" t="s">
        <v>262</v>
      </c>
      <c r="C120" s="271"/>
      <c r="D120" s="272" t="s">
        <v>263</v>
      </c>
      <c r="E120" s="262"/>
      <c r="F120" s="262"/>
      <c r="G120" s="262"/>
      <c r="H120" s="262"/>
      <c r="I120" s="262"/>
      <c r="J120" s="262"/>
      <c r="K120" s="262"/>
      <c r="L120" s="111"/>
      <c r="M120" s="111"/>
      <c r="N120" s="111"/>
      <c r="O120" s="111"/>
      <c r="P120" s="111"/>
      <c r="Q120" s="116"/>
      <c r="R120" s="116"/>
      <c r="S120" s="116"/>
      <c r="T120" s="135">
        <f>L120+M120+N120+O120+P120+Q120+R120+S120</f>
        <v>0</v>
      </c>
    </row>
    <row r="121" spans="1:20" ht="15.75" customHeight="1" x14ac:dyDescent="0.2">
      <c r="A121" s="273" t="s">
        <v>264</v>
      </c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89"/>
      <c r="T121" s="135">
        <f>L120+M120+N120+O120+P120+Q120+R120+S120</f>
        <v>0</v>
      </c>
    </row>
    <row r="122" spans="1:20" ht="17.25" customHeight="1" x14ac:dyDescent="0.2">
      <c r="A122" s="90" t="s">
        <v>265</v>
      </c>
      <c r="B122" s="91"/>
      <c r="C122" s="92"/>
      <c r="D122" s="93"/>
      <c r="E122" s="275" t="s">
        <v>184</v>
      </c>
      <c r="F122" s="276"/>
      <c r="G122" s="276"/>
      <c r="H122" s="276"/>
      <c r="I122" s="276"/>
      <c r="J122" s="276"/>
      <c r="K122" s="276"/>
      <c r="L122" s="276"/>
      <c r="M122" s="276"/>
      <c r="N122" s="276"/>
      <c r="O122" s="277"/>
      <c r="P122" s="49" t="s">
        <v>185</v>
      </c>
      <c r="Q122" s="49" t="s">
        <v>186</v>
      </c>
      <c r="R122" s="49" t="s">
        <v>187</v>
      </c>
      <c r="S122" s="49" t="s">
        <v>188</v>
      </c>
      <c r="T122" s="68" t="s">
        <v>165</v>
      </c>
    </row>
    <row r="123" spans="1:20" ht="12.75" customHeight="1" x14ac:dyDescent="0.2">
      <c r="A123" s="282" t="s">
        <v>71</v>
      </c>
      <c r="B123" s="329" t="s">
        <v>266</v>
      </c>
      <c r="C123" s="330"/>
      <c r="D123" s="330"/>
      <c r="E123" s="278" t="s">
        <v>219</v>
      </c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112"/>
      <c r="Q123" s="145"/>
      <c r="R123" s="145"/>
      <c r="S123" s="145"/>
      <c r="T123" s="146"/>
    </row>
    <row r="124" spans="1:20" ht="12.75" customHeight="1" x14ac:dyDescent="0.2">
      <c r="A124" s="223"/>
      <c r="B124" s="331"/>
      <c r="C124" s="331"/>
      <c r="D124" s="331"/>
      <c r="E124" s="209" t="s">
        <v>267</v>
      </c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98"/>
      <c r="Q124" s="51"/>
      <c r="R124" s="51"/>
      <c r="S124" s="51"/>
      <c r="T124" s="74"/>
    </row>
    <row r="125" spans="1:20" ht="12.75" customHeight="1" x14ac:dyDescent="0.2">
      <c r="A125" s="223"/>
      <c r="B125" s="331"/>
      <c r="C125" s="331"/>
      <c r="D125" s="331"/>
      <c r="E125" s="209" t="s">
        <v>268</v>
      </c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98"/>
      <c r="Q125" s="51"/>
      <c r="R125" s="51"/>
      <c r="S125" s="51"/>
      <c r="T125" s="74"/>
    </row>
    <row r="126" spans="1:20" ht="21" customHeight="1" x14ac:dyDescent="0.2">
      <c r="A126" s="223"/>
      <c r="B126" s="331"/>
      <c r="C126" s="331"/>
      <c r="D126" s="331"/>
      <c r="E126" s="209" t="s">
        <v>269</v>
      </c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98"/>
      <c r="Q126" s="51"/>
      <c r="R126" s="51"/>
      <c r="S126" s="51"/>
      <c r="T126" s="74"/>
    </row>
    <row r="127" spans="1:20" ht="17.25" customHeight="1" x14ac:dyDescent="0.2">
      <c r="A127" s="76"/>
      <c r="B127" s="94"/>
      <c r="C127" s="94"/>
      <c r="D127" s="94"/>
      <c r="E127" s="81"/>
      <c r="F127" s="81"/>
      <c r="G127" s="81"/>
      <c r="H127" s="81"/>
      <c r="I127" s="81"/>
      <c r="J127" s="81"/>
      <c r="K127" s="81"/>
      <c r="L127" s="113"/>
      <c r="M127" s="113"/>
      <c r="N127" s="113"/>
      <c r="O127" s="113"/>
      <c r="P127" s="97">
        <f>P123+P124+P125+P126</f>
        <v>0</v>
      </c>
      <c r="Q127" s="97">
        <f>Q123+Q124+Q125+Q126</f>
        <v>0</v>
      </c>
      <c r="R127" s="97">
        <f>R123+R124+R125+R126</f>
        <v>0</v>
      </c>
      <c r="S127" s="97">
        <f>S123+S124+S125+S126</f>
        <v>0</v>
      </c>
      <c r="T127" s="147">
        <f>P127+Q127+R127+S127</f>
        <v>0</v>
      </c>
    </row>
    <row r="128" spans="1:20" ht="27.75" customHeight="1" x14ac:dyDescent="0.2">
      <c r="A128" s="95"/>
      <c r="B128" s="279" t="s">
        <v>270</v>
      </c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1"/>
      <c r="Q128" s="281"/>
      <c r="R128" s="281"/>
      <c r="S128" s="148"/>
      <c r="T128" s="147">
        <f>P127:T127</f>
        <v>0</v>
      </c>
    </row>
    <row r="129" spans="1:20" ht="51.75" customHeight="1" x14ac:dyDescent="0.2">
      <c r="A129" s="283" t="s">
        <v>271</v>
      </c>
      <c r="B129" s="284"/>
      <c r="C129" s="284"/>
      <c r="D129" s="284"/>
      <c r="E129" s="264" t="s">
        <v>272</v>
      </c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151">
        <v>50</v>
      </c>
      <c r="Q129" s="151">
        <v>50</v>
      </c>
      <c r="R129" s="151"/>
      <c r="S129" s="151"/>
      <c r="T129" s="154">
        <f>P129+Q129+R129+S129</f>
        <v>100</v>
      </c>
    </row>
    <row r="130" spans="1:20" ht="22.5" customHeight="1" x14ac:dyDescent="0.2">
      <c r="A130" s="265" t="s">
        <v>273</v>
      </c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155">
        <f>T74+T98+T117+T121+T128</f>
        <v>910</v>
      </c>
    </row>
    <row r="131" spans="1:20" ht="23.25" customHeight="1" x14ac:dyDescent="0.2">
      <c r="A131" s="267" t="s">
        <v>274</v>
      </c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3"/>
      <c r="T131" s="156"/>
    </row>
    <row r="132" spans="1:20" ht="32.25" customHeight="1" x14ac:dyDescent="0.2">
      <c r="A132" s="327" t="s">
        <v>275</v>
      </c>
      <c r="B132" s="220"/>
      <c r="C132" s="220"/>
      <c r="D132" s="220" t="s">
        <v>184</v>
      </c>
      <c r="E132" s="220"/>
      <c r="F132" s="220"/>
      <c r="G132" s="220"/>
      <c r="H132" s="220"/>
      <c r="I132" s="220"/>
      <c r="J132" s="220"/>
      <c r="K132" s="220"/>
      <c r="L132" s="220" t="s">
        <v>185</v>
      </c>
      <c r="M132" s="220"/>
      <c r="N132" s="226" t="s">
        <v>186</v>
      </c>
      <c r="O132" s="226"/>
      <c r="P132" s="240" t="s">
        <v>187</v>
      </c>
      <c r="Q132" s="240"/>
      <c r="R132" s="240" t="s">
        <v>188</v>
      </c>
      <c r="S132" s="240"/>
      <c r="T132" s="316" t="s">
        <v>165</v>
      </c>
    </row>
    <row r="133" spans="1:20" ht="23.25" customHeight="1" x14ac:dyDescent="0.2">
      <c r="A133" s="328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152" t="s">
        <v>216</v>
      </c>
      <c r="M133" s="152" t="s">
        <v>217</v>
      </c>
      <c r="N133" s="152" t="s">
        <v>216</v>
      </c>
      <c r="O133" s="152" t="s">
        <v>217</v>
      </c>
      <c r="P133" s="152" t="s">
        <v>216</v>
      </c>
      <c r="Q133" s="152" t="s">
        <v>217</v>
      </c>
      <c r="R133" s="152" t="s">
        <v>216</v>
      </c>
      <c r="S133" s="152" t="s">
        <v>217</v>
      </c>
      <c r="T133" s="317"/>
    </row>
    <row r="134" spans="1:20" ht="18.75" customHeight="1" x14ac:dyDescent="0.2">
      <c r="A134" s="243" t="s">
        <v>276</v>
      </c>
      <c r="B134" s="324" t="s">
        <v>277</v>
      </c>
      <c r="C134" s="325"/>
      <c r="D134" s="269" t="s">
        <v>240</v>
      </c>
      <c r="E134" s="269"/>
      <c r="F134" s="269"/>
      <c r="G134" s="269"/>
      <c r="H134" s="269"/>
      <c r="I134" s="269"/>
      <c r="J134" s="269"/>
      <c r="K134" s="269"/>
      <c r="L134" s="102"/>
      <c r="M134" s="102"/>
      <c r="N134" s="102"/>
      <c r="O134" s="102"/>
      <c r="P134" s="102"/>
      <c r="Q134" s="126"/>
      <c r="R134" s="126"/>
      <c r="S134" s="126"/>
      <c r="T134" s="128">
        <f>L134+M134+N134+O134+P134+Q134+R134+S134</f>
        <v>0</v>
      </c>
    </row>
    <row r="135" spans="1:20" ht="18.75" customHeight="1" x14ac:dyDescent="0.2">
      <c r="A135" s="244"/>
      <c r="B135" s="326"/>
      <c r="C135" s="326"/>
      <c r="D135" s="286" t="s">
        <v>278</v>
      </c>
      <c r="E135" s="286"/>
      <c r="F135" s="286"/>
      <c r="G135" s="286"/>
      <c r="H135" s="286"/>
      <c r="I135" s="286"/>
      <c r="J135" s="286"/>
      <c r="K135" s="286"/>
      <c r="L135" s="104"/>
      <c r="M135" s="104"/>
      <c r="N135" s="96"/>
      <c r="O135" s="96"/>
      <c r="P135" s="96"/>
      <c r="Q135" s="118"/>
      <c r="R135" s="118"/>
      <c r="S135" s="118"/>
      <c r="T135" s="128">
        <f>L135+M135+N135+O135+P135+Q135+R135+S135</f>
        <v>0</v>
      </c>
    </row>
    <row r="136" spans="1:20" ht="4.5" customHeight="1" x14ac:dyDescent="0.2">
      <c r="A136" s="76"/>
      <c r="B136" s="94"/>
      <c r="C136" s="94"/>
      <c r="D136" s="81"/>
      <c r="E136" s="81"/>
      <c r="F136" s="81"/>
      <c r="G136" s="81"/>
      <c r="H136" s="81"/>
      <c r="I136" s="81"/>
      <c r="J136" s="81"/>
      <c r="K136" s="81"/>
      <c r="L136" s="153"/>
      <c r="M136" s="153"/>
      <c r="N136" s="97"/>
      <c r="O136" s="97"/>
      <c r="P136" s="97"/>
      <c r="Q136" s="120"/>
      <c r="R136" s="120"/>
      <c r="S136" s="120"/>
      <c r="T136" s="157">
        <f>T134+T135</f>
        <v>0</v>
      </c>
    </row>
    <row r="137" spans="1:20" ht="4.5" customHeight="1" x14ac:dyDescent="0.2">
      <c r="A137" s="87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110"/>
      <c r="M137" s="110"/>
      <c r="N137" s="110"/>
      <c r="O137" s="110"/>
      <c r="P137" s="110"/>
      <c r="Q137" s="140"/>
      <c r="R137" s="140"/>
      <c r="S137" s="140"/>
      <c r="T137" s="158" t="e">
        <f>#REF!+#REF!+#REF!</f>
        <v>#REF!</v>
      </c>
    </row>
    <row r="138" spans="1:20" ht="22.5" customHeight="1" x14ac:dyDescent="0.2">
      <c r="A138" s="258" t="s">
        <v>279</v>
      </c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87"/>
      <c r="T138" s="159">
        <f>T136</f>
        <v>0</v>
      </c>
    </row>
    <row r="139" spans="1:20" ht="20.25" customHeight="1" x14ac:dyDescent="0.2">
      <c r="A139" s="288" t="s">
        <v>280</v>
      </c>
      <c r="B139" s="289"/>
      <c r="C139" s="289"/>
      <c r="D139" s="289"/>
      <c r="E139" s="289"/>
      <c r="F139" s="289"/>
      <c r="G139" s="289" t="s">
        <v>184</v>
      </c>
      <c r="H139" s="289"/>
      <c r="I139" s="289"/>
      <c r="J139" s="289"/>
      <c r="K139" s="289"/>
      <c r="L139" s="289"/>
      <c r="M139" s="289"/>
      <c r="N139" s="289"/>
      <c r="O139" s="289"/>
      <c r="P139" s="50" t="s">
        <v>185</v>
      </c>
      <c r="Q139" s="50" t="s">
        <v>186</v>
      </c>
      <c r="R139" s="50" t="s">
        <v>187</v>
      </c>
      <c r="S139" s="50" t="s">
        <v>188</v>
      </c>
      <c r="T139" s="69" t="s">
        <v>165</v>
      </c>
    </row>
    <row r="140" spans="1:20" x14ac:dyDescent="0.2">
      <c r="A140" s="19" t="s">
        <v>276</v>
      </c>
      <c r="B140" s="290" t="s">
        <v>126</v>
      </c>
      <c r="C140" s="290"/>
      <c r="D140" s="290"/>
      <c r="E140" s="290"/>
      <c r="F140" s="290"/>
      <c r="G140" s="257" t="s">
        <v>281</v>
      </c>
      <c r="H140" s="257"/>
      <c r="I140" s="257"/>
      <c r="J140" s="257"/>
      <c r="K140" s="257"/>
      <c r="L140" s="257"/>
      <c r="M140" s="257"/>
      <c r="N140" s="257"/>
      <c r="O140" s="257"/>
      <c r="P140" s="16"/>
      <c r="Q140" s="116"/>
      <c r="R140" s="116"/>
      <c r="S140" s="116"/>
      <c r="T140" s="128">
        <f>P140+Q140+R140+S140</f>
        <v>0</v>
      </c>
    </row>
    <row r="141" spans="1:20" ht="25.5" customHeight="1" x14ac:dyDescent="0.2">
      <c r="A141" s="19" t="s">
        <v>282</v>
      </c>
      <c r="B141" s="291" t="s">
        <v>129</v>
      </c>
      <c r="C141" s="291"/>
      <c r="D141" s="291"/>
      <c r="E141" s="291"/>
      <c r="F141" s="291"/>
      <c r="G141" s="209" t="s">
        <v>281</v>
      </c>
      <c r="H141" s="209"/>
      <c r="I141" s="209"/>
      <c r="J141" s="209"/>
      <c r="K141" s="209"/>
      <c r="L141" s="209"/>
      <c r="M141" s="209"/>
      <c r="N141" s="209"/>
      <c r="O141" s="209"/>
      <c r="P141" s="16"/>
      <c r="Q141" s="116"/>
      <c r="R141" s="116"/>
      <c r="S141" s="116"/>
      <c r="T141" s="160">
        <f>P141+Q141+R141+S141</f>
        <v>0</v>
      </c>
    </row>
    <row r="142" spans="1:20" ht="25.5" customHeight="1" x14ac:dyDescent="0.2">
      <c r="A142" s="19" t="s">
        <v>283</v>
      </c>
      <c r="B142" s="224" t="s">
        <v>131</v>
      </c>
      <c r="C142" s="224"/>
      <c r="D142" s="224"/>
      <c r="E142" s="224"/>
      <c r="F142" s="224"/>
      <c r="G142" s="209" t="s">
        <v>281</v>
      </c>
      <c r="H142" s="209"/>
      <c r="I142" s="209"/>
      <c r="J142" s="209"/>
      <c r="K142" s="209"/>
      <c r="L142" s="209"/>
      <c r="M142" s="209"/>
      <c r="N142" s="209"/>
      <c r="O142" s="209"/>
      <c r="P142" s="16"/>
      <c r="Q142" s="116"/>
      <c r="R142" s="116"/>
      <c r="S142" s="116"/>
      <c r="T142" s="160">
        <f>P142+Q142+R142+S142</f>
        <v>0</v>
      </c>
    </row>
    <row r="143" spans="1:20" ht="25.5" customHeight="1" x14ac:dyDescent="0.2">
      <c r="A143" s="19" t="s">
        <v>284</v>
      </c>
      <c r="B143" s="224" t="s">
        <v>133</v>
      </c>
      <c r="C143" s="224"/>
      <c r="D143" s="224"/>
      <c r="E143" s="224"/>
      <c r="F143" s="224"/>
      <c r="G143" s="209" t="s">
        <v>281</v>
      </c>
      <c r="H143" s="209"/>
      <c r="I143" s="209"/>
      <c r="J143" s="209"/>
      <c r="K143" s="209"/>
      <c r="L143" s="209"/>
      <c r="M143" s="209"/>
      <c r="N143" s="209"/>
      <c r="O143" s="209"/>
      <c r="P143" s="16"/>
      <c r="Q143" s="116"/>
      <c r="R143" s="116"/>
      <c r="S143" s="116"/>
      <c r="T143" s="160">
        <f t="shared" ref="T143:T148" si="12">P143+Q143+R143+S143</f>
        <v>0</v>
      </c>
    </row>
    <row r="144" spans="1:20" ht="25.5" customHeight="1" x14ac:dyDescent="0.2">
      <c r="A144" s="19" t="s">
        <v>285</v>
      </c>
      <c r="B144" s="291" t="s">
        <v>135</v>
      </c>
      <c r="C144" s="291"/>
      <c r="D144" s="291"/>
      <c r="E144" s="291"/>
      <c r="F144" s="291"/>
      <c r="G144" s="209" t="s">
        <v>281</v>
      </c>
      <c r="H144" s="209"/>
      <c r="I144" s="209"/>
      <c r="J144" s="209"/>
      <c r="K144" s="209"/>
      <c r="L144" s="209"/>
      <c r="M144" s="209"/>
      <c r="N144" s="209"/>
      <c r="O144" s="209"/>
      <c r="P144" s="16"/>
      <c r="Q144" s="116"/>
      <c r="R144" s="116"/>
      <c r="S144" s="116"/>
      <c r="T144" s="160">
        <f t="shared" si="12"/>
        <v>0</v>
      </c>
    </row>
    <row r="145" spans="1:20" ht="15" customHeight="1" x14ac:dyDescent="0.2">
      <c r="A145" s="223" t="s">
        <v>286</v>
      </c>
      <c r="B145" s="224" t="s">
        <v>287</v>
      </c>
      <c r="C145" s="224"/>
      <c r="D145" s="224"/>
      <c r="E145" s="224"/>
      <c r="F145" s="224"/>
      <c r="G145" s="257" t="s">
        <v>288</v>
      </c>
      <c r="H145" s="257"/>
      <c r="I145" s="257"/>
      <c r="J145" s="257"/>
      <c r="K145" s="257"/>
      <c r="L145" s="257"/>
      <c r="M145" s="257"/>
      <c r="N145" s="257"/>
      <c r="O145" s="257"/>
      <c r="P145" s="16"/>
      <c r="Q145" s="116"/>
      <c r="R145" s="116"/>
      <c r="S145" s="116"/>
      <c r="T145" s="160">
        <f t="shared" si="12"/>
        <v>0</v>
      </c>
    </row>
    <row r="146" spans="1:20" ht="15" customHeight="1" x14ac:dyDescent="0.2">
      <c r="A146" s="223"/>
      <c r="B146" s="224"/>
      <c r="C146" s="224"/>
      <c r="D146" s="224"/>
      <c r="E146" s="224"/>
      <c r="F146" s="224"/>
      <c r="G146" s="257" t="s">
        <v>289</v>
      </c>
      <c r="H146" s="257"/>
      <c r="I146" s="257"/>
      <c r="J146" s="257"/>
      <c r="K146" s="257"/>
      <c r="L146" s="257"/>
      <c r="M146" s="257"/>
      <c r="N146" s="257"/>
      <c r="O146" s="257"/>
      <c r="P146" s="16"/>
      <c r="Q146" s="116"/>
      <c r="R146" s="116"/>
      <c r="S146" s="116"/>
      <c r="T146" s="160">
        <f t="shared" si="12"/>
        <v>0</v>
      </c>
    </row>
    <row r="147" spans="1:20" ht="15" customHeight="1" x14ac:dyDescent="0.2">
      <c r="A147" s="223"/>
      <c r="B147" s="224"/>
      <c r="C147" s="224"/>
      <c r="D147" s="224"/>
      <c r="E147" s="224"/>
      <c r="F147" s="224"/>
      <c r="G147" s="257" t="s">
        <v>290</v>
      </c>
      <c r="H147" s="257"/>
      <c r="I147" s="257"/>
      <c r="J147" s="257"/>
      <c r="K147" s="257"/>
      <c r="L147" s="257"/>
      <c r="M147" s="257"/>
      <c r="N147" s="257"/>
      <c r="O147" s="257"/>
      <c r="P147" s="16"/>
      <c r="Q147" s="116"/>
      <c r="R147" s="116"/>
      <c r="S147" s="116"/>
      <c r="T147" s="160">
        <f t="shared" si="12"/>
        <v>0</v>
      </c>
    </row>
    <row r="148" spans="1:20" ht="15" customHeight="1" x14ac:dyDescent="0.2">
      <c r="A148" s="223"/>
      <c r="B148" s="224"/>
      <c r="C148" s="224"/>
      <c r="D148" s="224"/>
      <c r="E148" s="224"/>
      <c r="F148" s="224"/>
      <c r="G148" s="257" t="s">
        <v>291</v>
      </c>
      <c r="H148" s="257"/>
      <c r="I148" s="257"/>
      <c r="J148" s="257"/>
      <c r="K148" s="257"/>
      <c r="L148" s="257"/>
      <c r="M148" s="257"/>
      <c r="N148" s="257"/>
      <c r="O148" s="257"/>
      <c r="P148" s="16"/>
      <c r="Q148" s="116"/>
      <c r="R148" s="116"/>
      <c r="S148" s="116"/>
      <c r="T148" s="160">
        <f t="shared" si="12"/>
        <v>0</v>
      </c>
    </row>
    <row r="149" spans="1:20" ht="10.5" customHeight="1" x14ac:dyDescent="0.2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3"/>
      <c r="M149" s="23"/>
      <c r="N149" s="23"/>
      <c r="O149" s="23"/>
      <c r="P149" s="16"/>
      <c r="Q149" s="116"/>
      <c r="R149" s="116"/>
      <c r="S149" s="116"/>
      <c r="T149" s="160"/>
    </row>
    <row r="150" spans="1:20" ht="21.75" customHeight="1" x14ac:dyDescent="0.2">
      <c r="A150" s="149" t="s">
        <v>292</v>
      </c>
      <c r="B150" s="285" t="s">
        <v>143</v>
      </c>
      <c r="C150" s="285"/>
      <c r="D150" s="285"/>
      <c r="E150" s="285"/>
      <c r="F150" s="285"/>
      <c r="G150" s="286" t="s">
        <v>281</v>
      </c>
      <c r="H150" s="286"/>
      <c r="I150" s="286"/>
      <c r="J150" s="286"/>
      <c r="K150" s="286"/>
      <c r="L150" s="286"/>
      <c r="M150" s="286"/>
      <c r="N150" s="286"/>
      <c r="O150" s="286"/>
      <c r="P150" s="96"/>
      <c r="Q150" s="118"/>
      <c r="R150" s="118"/>
      <c r="S150" s="118"/>
      <c r="T150" s="161">
        <f>P150+Q150+R150+S150</f>
        <v>0</v>
      </c>
    </row>
    <row r="151" spans="1:20" ht="21" customHeight="1" x14ac:dyDescent="0.2">
      <c r="A151" s="335" t="s">
        <v>293</v>
      </c>
      <c r="B151" s="336"/>
      <c r="C151" s="336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150"/>
      <c r="T151" s="162">
        <f>T140+T141+T142+T143+T144+T145+T146+T147+T148+T150</f>
        <v>0</v>
      </c>
    </row>
    <row r="152" spans="1:20" x14ac:dyDescent="0.2">
      <c r="A152" s="337" t="s">
        <v>294</v>
      </c>
      <c r="B152" s="338"/>
      <c r="C152" s="338"/>
      <c r="D152" s="338"/>
      <c r="E152" s="338"/>
      <c r="F152" s="338"/>
      <c r="G152" s="339" t="s">
        <v>184</v>
      </c>
      <c r="H152" s="339"/>
      <c r="I152" s="339"/>
      <c r="J152" s="339"/>
      <c r="K152" s="339"/>
      <c r="L152" s="339"/>
      <c r="M152" s="339"/>
      <c r="N152" s="339"/>
      <c r="O152" s="339"/>
      <c r="P152" s="49" t="s">
        <v>185</v>
      </c>
      <c r="Q152" s="49" t="s">
        <v>186</v>
      </c>
      <c r="R152" s="49" t="s">
        <v>187</v>
      </c>
      <c r="S152" s="49" t="s">
        <v>188</v>
      </c>
      <c r="T152" s="163" t="s">
        <v>171</v>
      </c>
    </row>
    <row r="153" spans="1:20" ht="15.75" customHeight="1" x14ac:dyDescent="0.2">
      <c r="A153" s="25" t="s">
        <v>276</v>
      </c>
      <c r="B153" s="340" t="s">
        <v>145</v>
      </c>
      <c r="C153" s="341"/>
      <c r="D153" s="341"/>
      <c r="E153" s="341"/>
      <c r="F153" s="342"/>
      <c r="G153" s="269" t="s">
        <v>295</v>
      </c>
      <c r="H153" s="269"/>
      <c r="I153" s="269"/>
      <c r="J153" s="269"/>
      <c r="K153" s="269"/>
      <c r="L153" s="269"/>
      <c r="M153" s="269"/>
      <c r="N153" s="269"/>
      <c r="O153" s="269"/>
      <c r="P153" s="102"/>
      <c r="Q153" s="126"/>
      <c r="R153" s="126"/>
      <c r="S153" s="126"/>
      <c r="T153" s="128">
        <f>P153+Q153+R153+S153</f>
        <v>0</v>
      </c>
    </row>
    <row r="154" spans="1:20" ht="19.5" customHeight="1" x14ac:dyDescent="0.2">
      <c r="A154" s="28" t="s">
        <v>282</v>
      </c>
      <c r="B154" s="343" t="s">
        <v>148</v>
      </c>
      <c r="C154" s="343"/>
      <c r="D154" s="343"/>
      <c r="E154" s="343"/>
      <c r="F154" s="343"/>
      <c r="G154" s="344" t="s">
        <v>296</v>
      </c>
      <c r="H154" s="344"/>
      <c r="I154" s="344"/>
      <c r="J154" s="344"/>
      <c r="K154" s="344"/>
      <c r="L154" s="344"/>
      <c r="M154" s="344"/>
      <c r="N154" s="344"/>
      <c r="O154" s="344"/>
      <c r="P154" s="96">
        <v>100</v>
      </c>
      <c r="Q154" s="118"/>
      <c r="R154" s="118"/>
      <c r="S154" s="118"/>
      <c r="T154" s="130">
        <f t="shared" ref="T154" si="13">P154+Q154+R154+S154</f>
        <v>100</v>
      </c>
    </row>
    <row r="155" spans="1:20" ht="15.75" customHeight="1" x14ac:dyDescent="0.2">
      <c r="A155" s="345" t="s">
        <v>297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162">
        <f>T153+T154</f>
        <v>100</v>
      </c>
    </row>
    <row r="156" spans="1:20" ht="15.75" customHeight="1" x14ac:dyDescent="0.2">
      <c r="A156" s="347" t="s">
        <v>298</v>
      </c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135">
        <f>T138+T151++T155</f>
        <v>100</v>
      </c>
    </row>
    <row r="157" spans="1:20" ht="15.75" customHeight="1" x14ac:dyDescent="0.2">
      <c r="A157" s="318" t="s">
        <v>152</v>
      </c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8">
        <f>T35+T130+T156</f>
        <v>1132</v>
      </c>
      <c r="T157" s="322"/>
    </row>
    <row r="158" spans="1:20" ht="21.75" customHeight="1" x14ac:dyDescent="0.2">
      <c r="A158" s="320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0"/>
      <c r="T158" s="323"/>
    </row>
  </sheetData>
  <mergeCells count="263">
    <mergeCell ref="B105:F112"/>
    <mergeCell ref="B114:F115"/>
    <mergeCell ref="A118:C119"/>
    <mergeCell ref="D118:K119"/>
    <mergeCell ref="B123:D126"/>
    <mergeCell ref="E125:O125"/>
    <mergeCell ref="E126:O126"/>
    <mergeCell ref="B128:R128"/>
    <mergeCell ref="G111:O111"/>
    <mergeCell ref="G112:O112"/>
    <mergeCell ref="A157:R158"/>
    <mergeCell ref="S157:T158"/>
    <mergeCell ref="T132:T133"/>
    <mergeCell ref="A17:B18"/>
    <mergeCell ref="A23:B24"/>
    <mergeCell ref="B38:I43"/>
    <mergeCell ref="B51:I55"/>
    <mergeCell ref="B45:I49"/>
    <mergeCell ref="B63:I67"/>
    <mergeCell ref="B57:I61"/>
    <mergeCell ref="A75:C76"/>
    <mergeCell ref="D75:K76"/>
    <mergeCell ref="B69:I72"/>
    <mergeCell ref="B83:C87"/>
    <mergeCell ref="B77:C81"/>
    <mergeCell ref="B94:C95"/>
    <mergeCell ref="D94:K95"/>
    <mergeCell ref="B89:C92"/>
    <mergeCell ref="B101:F103"/>
    <mergeCell ref="A98:R98"/>
    <mergeCell ref="A99:F99"/>
    <mergeCell ref="G99:O99"/>
    <mergeCell ref="B100:F100"/>
    <mergeCell ref="G100:O100"/>
    <mergeCell ref="A132:C133"/>
    <mergeCell ref="D132:K133"/>
    <mergeCell ref="T17:T18"/>
    <mergeCell ref="T19:T21"/>
    <mergeCell ref="T23:T24"/>
    <mergeCell ref="T25:T26"/>
    <mergeCell ref="T27:T28"/>
    <mergeCell ref="T29:T30"/>
    <mergeCell ref="T31:T33"/>
    <mergeCell ref="T75:T76"/>
    <mergeCell ref="T118:T119"/>
    <mergeCell ref="B25:B26"/>
    <mergeCell ref="B27:B28"/>
    <mergeCell ref="B29:B30"/>
    <mergeCell ref="B31:B33"/>
    <mergeCell ref="A105:A112"/>
    <mergeCell ref="A114:A115"/>
    <mergeCell ref="A123:A126"/>
    <mergeCell ref="E129:O129"/>
    <mergeCell ref="A145:A148"/>
    <mergeCell ref="A25:A26"/>
    <mergeCell ref="A27:A28"/>
    <mergeCell ref="A29:A30"/>
    <mergeCell ref="A31:A33"/>
    <mergeCell ref="A38:A43"/>
    <mergeCell ref="A45:A49"/>
    <mergeCell ref="A51:A55"/>
    <mergeCell ref="A57:A61"/>
    <mergeCell ref="A63:A67"/>
    <mergeCell ref="A129:D129"/>
    <mergeCell ref="A130:S130"/>
    <mergeCell ref="A131:R131"/>
    <mergeCell ref="L132:M132"/>
    <mergeCell ref="N132:O132"/>
    <mergeCell ref="P132:Q132"/>
    <mergeCell ref="R132:S132"/>
    <mergeCell ref="B120:C120"/>
    <mergeCell ref="D120:K120"/>
    <mergeCell ref="A121:R121"/>
    <mergeCell ref="E122:O122"/>
    <mergeCell ref="E123:O123"/>
    <mergeCell ref="E124:O124"/>
    <mergeCell ref="A83:A87"/>
    <mergeCell ref="A151:R151"/>
    <mergeCell ref="A152:F152"/>
    <mergeCell ref="G152:O152"/>
    <mergeCell ref="B153:F153"/>
    <mergeCell ref="G153:O153"/>
    <mergeCell ref="B154:F154"/>
    <mergeCell ref="G154:O154"/>
    <mergeCell ref="A155:S155"/>
    <mergeCell ref="A156:S156"/>
    <mergeCell ref="B143:F143"/>
    <mergeCell ref="G143:O143"/>
    <mergeCell ref="B144:F144"/>
    <mergeCell ref="G144:O144"/>
    <mergeCell ref="G145:O145"/>
    <mergeCell ref="G146:O146"/>
    <mergeCell ref="G147:O147"/>
    <mergeCell ref="G148:O148"/>
    <mergeCell ref="B150:F150"/>
    <mergeCell ref="G150:O150"/>
    <mergeCell ref="B145:F148"/>
    <mergeCell ref="D135:K135"/>
    <mergeCell ref="A138:S138"/>
    <mergeCell ref="A139:F139"/>
    <mergeCell ref="G139:O139"/>
    <mergeCell ref="B140:F140"/>
    <mergeCell ref="G140:O140"/>
    <mergeCell ref="B141:F141"/>
    <mergeCell ref="G141:O141"/>
    <mergeCell ref="B142:F142"/>
    <mergeCell ref="G142:O142"/>
    <mergeCell ref="B134:C135"/>
    <mergeCell ref="D134:K134"/>
    <mergeCell ref="A134:A135"/>
    <mergeCell ref="D85:K85"/>
    <mergeCell ref="D86:K86"/>
    <mergeCell ref="G114:O114"/>
    <mergeCell ref="G115:O115"/>
    <mergeCell ref="A117:S117"/>
    <mergeCell ref="L118:M118"/>
    <mergeCell ref="N118:O118"/>
    <mergeCell ref="P118:Q118"/>
    <mergeCell ref="R118:S118"/>
    <mergeCell ref="G101:O101"/>
    <mergeCell ref="G102:O102"/>
    <mergeCell ref="G103:O103"/>
    <mergeCell ref="G105:O105"/>
    <mergeCell ref="G106:O106"/>
    <mergeCell ref="G107:O107"/>
    <mergeCell ref="G108:O108"/>
    <mergeCell ref="G109:O109"/>
    <mergeCell ref="G110:O110"/>
    <mergeCell ref="A94:A95"/>
    <mergeCell ref="A101:A103"/>
    <mergeCell ref="D91:K91"/>
    <mergeCell ref="D92:K92"/>
    <mergeCell ref="B97:C97"/>
    <mergeCell ref="D97:K97"/>
    <mergeCell ref="J66:O66"/>
    <mergeCell ref="J67:O67"/>
    <mergeCell ref="J69:O69"/>
    <mergeCell ref="J70:O70"/>
    <mergeCell ref="J71:O71"/>
    <mergeCell ref="D87:K87"/>
    <mergeCell ref="D89:K89"/>
    <mergeCell ref="D90:K90"/>
    <mergeCell ref="J72:O72"/>
    <mergeCell ref="A74:S74"/>
    <mergeCell ref="L75:M75"/>
    <mergeCell ref="N75:O75"/>
    <mergeCell ref="P75:Q75"/>
    <mergeCell ref="R75:S75"/>
    <mergeCell ref="D77:K77"/>
    <mergeCell ref="D78:K78"/>
    <mergeCell ref="D79:K79"/>
    <mergeCell ref="A69:A72"/>
    <mergeCell ref="A77:A81"/>
    <mergeCell ref="A89:A92"/>
    <mergeCell ref="D80:K80"/>
    <mergeCell ref="D81:K81"/>
    <mergeCell ref="D83:K83"/>
    <mergeCell ref="D84:K84"/>
    <mergeCell ref="J55:O55"/>
    <mergeCell ref="J57:O57"/>
    <mergeCell ref="J58:O58"/>
    <mergeCell ref="J59:O59"/>
    <mergeCell ref="J60:O60"/>
    <mergeCell ref="J61:O61"/>
    <mergeCell ref="J63:O63"/>
    <mergeCell ref="J64:O64"/>
    <mergeCell ref="J65:O65"/>
    <mergeCell ref="J45:O45"/>
    <mergeCell ref="J46:O46"/>
    <mergeCell ref="J47:O47"/>
    <mergeCell ref="J48:O48"/>
    <mergeCell ref="J49:O49"/>
    <mergeCell ref="J51:O51"/>
    <mergeCell ref="J52:O52"/>
    <mergeCell ref="J53:O53"/>
    <mergeCell ref="J54:O54"/>
    <mergeCell ref="A34:S34"/>
    <mergeCell ref="A35:S35"/>
    <mergeCell ref="J37:O37"/>
    <mergeCell ref="J38:O38"/>
    <mergeCell ref="J39:O39"/>
    <mergeCell ref="J40:O40"/>
    <mergeCell ref="J41:O41"/>
    <mergeCell ref="J42:O42"/>
    <mergeCell ref="J43:O43"/>
    <mergeCell ref="D31:G31"/>
    <mergeCell ref="H31:K31"/>
    <mergeCell ref="L31:O31"/>
    <mergeCell ref="P31:S31"/>
    <mergeCell ref="D32:G32"/>
    <mergeCell ref="H32:K32"/>
    <mergeCell ref="L32:O32"/>
    <mergeCell ref="P32:S32"/>
    <mergeCell ref="D33:G33"/>
    <mergeCell ref="H33:K33"/>
    <mergeCell ref="L33:O33"/>
    <mergeCell ref="P33:S33"/>
    <mergeCell ref="D28:G28"/>
    <mergeCell ref="H28:K28"/>
    <mergeCell ref="L28:O28"/>
    <mergeCell ref="P28:S28"/>
    <mergeCell ref="D29:G29"/>
    <mergeCell ref="H29:K29"/>
    <mergeCell ref="L29:O29"/>
    <mergeCell ref="P29:S29"/>
    <mergeCell ref="D30:G30"/>
    <mergeCell ref="H30:K30"/>
    <mergeCell ref="L30:O30"/>
    <mergeCell ref="P30:S30"/>
    <mergeCell ref="D25:G25"/>
    <mergeCell ref="H25:K25"/>
    <mergeCell ref="L25:O25"/>
    <mergeCell ref="P25:S25"/>
    <mergeCell ref="D26:G26"/>
    <mergeCell ref="H26:K26"/>
    <mergeCell ref="L26:O26"/>
    <mergeCell ref="P26:S26"/>
    <mergeCell ref="D27:G27"/>
    <mergeCell ref="H27:K27"/>
    <mergeCell ref="L27:O27"/>
    <mergeCell ref="P27:S27"/>
    <mergeCell ref="D17:G17"/>
    <mergeCell ref="H17:K17"/>
    <mergeCell ref="L17:O17"/>
    <mergeCell ref="P17:S17"/>
    <mergeCell ref="A22:R22"/>
    <mergeCell ref="D23:G23"/>
    <mergeCell ref="H23:K23"/>
    <mergeCell ref="L23:O23"/>
    <mergeCell ref="P23:S23"/>
    <mergeCell ref="A19:A21"/>
    <mergeCell ref="B19:B21"/>
    <mergeCell ref="K19:K21"/>
    <mergeCell ref="O19:O21"/>
    <mergeCell ref="S19:S21"/>
    <mergeCell ref="C17:C18"/>
    <mergeCell ref="C23:C24"/>
    <mergeCell ref="G19:G21"/>
    <mergeCell ref="D24:G24"/>
    <mergeCell ref="H24:K24"/>
    <mergeCell ref="L24:O24"/>
    <mergeCell ref="P24:S24"/>
    <mergeCell ref="B1:T1"/>
    <mergeCell ref="A3:T3"/>
    <mergeCell ref="A4:T4"/>
    <mergeCell ref="B5:T5"/>
    <mergeCell ref="A9:T9"/>
    <mergeCell ref="D10:H10"/>
    <mergeCell ref="I10:M10"/>
    <mergeCell ref="O10:S10"/>
    <mergeCell ref="A16:R16"/>
    <mergeCell ref="A10:A11"/>
    <mergeCell ref="A12:A13"/>
    <mergeCell ref="A14:A15"/>
    <mergeCell ref="B10:B11"/>
    <mergeCell ref="B12:B13"/>
    <mergeCell ref="B14:B15"/>
    <mergeCell ref="N10:N11"/>
    <mergeCell ref="T10:T11"/>
    <mergeCell ref="T12:T13"/>
    <mergeCell ref="T14:T15"/>
    <mergeCell ref="C10:C11"/>
    <mergeCell ref="C12:C15"/>
  </mergeCells>
  <pageMargins left="0.7" right="0.7" top="0.75" bottom="0.7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15BC-DFB0-4BB8-8B8B-5B11371835D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58"/>
  <sheetViews>
    <sheetView topLeftCell="A148" workbookViewId="0">
      <selection activeCell="B1" sqref="B1:T1"/>
    </sheetView>
  </sheetViews>
  <sheetFormatPr defaultColWidth="9.140625" defaultRowHeight="11.25" x14ac:dyDescent="0.2"/>
  <cols>
    <col min="1" max="1" width="5" style="1" customWidth="1"/>
    <col min="2" max="2" width="25.7109375" style="2" customWidth="1"/>
    <col min="3" max="3" width="11.140625" style="2" customWidth="1"/>
    <col min="4" max="11" width="3.42578125" style="2" customWidth="1"/>
    <col min="12" max="19" width="4.42578125" style="2" customWidth="1"/>
    <col min="20" max="20" width="26.140625" style="2" customWidth="1"/>
    <col min="21" max="21" width="9.140625" style="2"/>
    <col min="22" max="22" width="32.28515625" style="2" customWidth="1"/>
    <col min="23" max="16384" width="9.140625" style="2"/>
  </cols>
  <sheetData>
    <row r="1" spans="1:20" ht="18" customHeight="1" x14ac:dyDescent="0.2">
      <c r="B1" s="192" t="s">
        <v>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20" ht="9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O2" s="3"/>
      <c r="P2" s="42" t="s">
        <v>153</v>
      </c>
      <c r="Q2" s="42"/>
      <c r="R2" s="42"/>
      <c r="S2" s="42"/>
      <c r="T2" s="42"/>
    </row>
    <row r="3" spans="1:20" ht="15" customHeight="1" x14ac:dyDescent="0.2">
      <c r="A3" s="193" t="s">
        <v>154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20" ht="50.25" customHeight="1" x14ac:dyDescent="0.2">
      <c r="A4" s="194" t="s">
        <v>155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</row>
    <row r="5" spans="1:20" ht="16.5" customHeight="1" x14ac:dyDescent="0.2">
      <c r="A5" s="4" t="s">
        <v>3</v>
      </c>
      <c r="B5" s="197" t="s">
        <v>156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9"/>
    </row>
    <row r="6" spans="1:20" ht="17.25" customHeight="1" x14ac:dyDescent="0.2">
      <c r="A6" s="5" t="s">
        <v>157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8"/>
    </row>
    <row r="7" spans="1:20" ht="33" customHeight="1" x14ac:dyDescent="0.2">
      <c r="A7" s="7" t="s">
        <v>158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59"/>
    </row>
    <row r="8" spans="1:20" ht="14.25" customHeight="1" x14ac:dyDescent="0.2">
      <c r="A8" s="9" t="s">
        <v>159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60">
        <v>0.2</v>
      </c>
    </row>
    <row r="9" spans="1:20" ht="25.5" customHeight="1" x14ac:dyDescent="0.2">
      <c r="A9" s="200" t="s">
        <v>160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2"/>
    </row>
    <row r="10" spans="1:20" ht="19.5" customHeight="1" x14ac:dyDescent="0.2">
      <c r="A10" s="207"/>
      <c r="B10" s="210"/>
      <c r="C10" s="217" t="s">
        <v>14</v>
      </c>
      <c r="D10" s="203" t="s">
        <v>161</v>
      </c>
      <c r="E10" s="203"/>
      <c r="F10" s="203"/>
      <c r="G10" s="203"/>
      <c r="H10" s="203"/>
      <c r="I10" s="203" t="s">
        <v>162</v>
      </c>
      <c r="J10" s="203"/>
      <c r="K10" s="203"/>
      <c r="L10" s="203"/>
      <c r="M10" s="203"/>
      <c r="N10" s="204" t="s">
        <v>163</v>
      </c>
      <c r="O10" s="204" t="s">
        <v>164</v>
      </c>
      <c r="P10" s="204"/>
      <c r="Q10" s="204"/>
      <c r="R10" s="204"/>
      <c r="S10" s="204"/>
      <c r="T10" s="213" t="s">
        <v>165</v>
      </c>
    </row>
    <row r="11" spans="1:20" ht="22.5" customHeight="1" x14ac:dyDescent="0.2">
      <c r="A11" s="208"/>
      <c r="B11" s="211"/>
      <c r="C11" s="218"/>
      <c r="D11" s="12" t="s">
        <v>8</v>
      </c>
      <c r="E11" s="12" t="s">
        <v>9</v>
      </c>
      <c r="F11" s="12" t="s">
        <v>10</v>
      </c>
      <c r="G11" s="12" t="s">
        <v>11</v>
      </c>
      <c r="H11" s="12" t="s">
        <v>166</v>
      </c>
      <c r="I11" s="12" t="s">
        <v>8</v>
      </c>
      <c r="J11" s="12" t="s">
        <v>9</v>
      </c>
      <c r="K11" s="12" t="s">
        <v>10</v>
      </c>
      <c r="L11" s="12" t="s">
        <v>11</v>
      </c>
      <c r="M11" s="12" t="s">
        <v>166</v>
      </c>
      <c r="N11" s="212"/>
      <c r="O11" s="12" t="s">
        <v>8</v>
      </c>
      <c r="P11" s="12" t="s">
        <v>9</v>
      </c>
      <c r="Q11" s="12" t="s">
        <v>10</v>
      </c>
      <c r="R11" s="12" t="s">
        <v>11</v>
      </c>
      <c r="S11" s="12" t="s">
        <v>166</v>
      </c>
      <c r="T11" s="214"/>
    </row>
    <row r="12" spans="1:20" ht="12.75" customHeight="1" x14ac:dyDescent="0.2">
      <c r="A12" s="209" t="s">
        <v>50</v>
      </c>
      <c r="B12" s="209" t="s">
        <v>167</v>
      </c>
      <c r="C12" s="219" t="s">
        <v>168</v>
      </c>
      <c r="D12" s="14">
        <v>80</v>
      </c>
      <c r="E12" s="15"/>
      <c r="F12" s="15"/>
      <c r="G12" s="15"/>
      <c r="H12" s="15">
        <f>(D12+E12+F12+G12)/4</f>
        <v>20</v>
      </c>
      <c r="I12" s="17"/>
      <c r="J12" s="17"/>
      <c r="K12" s="17"/>
      <c r="L12" s="17"/>
      <c r="M12" s="15">
        <f>(I12+J12+K12+L12)/4</f>
        <v>0</v>
      </c>
      <c r="N12" s="43">
        <v>1</v>
      </c>
      <c r="O12" s="43"/>
      <c r="P12" s="43"/>
      <c r="Q12" s="43"/>
      <c r="R12" s="43"/>
      <c r="S12" s="43">
        <f>SUM(O12:R12)/4</f>
        <v>0</v>
      </c>
      <c r="T12" s="215">
        <f>(H12+N12-0.2*S12)+(M12-0.2*S12)</f>
        <v>21</v>
      </c>
    </row>
    <row r="13" spans="1:20" ht="21.75" customHeight="1" x14ac:dyDescent="0.2">
      <c r="A13" s="209"/>
      <c r="B13" s="209"/>
      <c r="C13" s="219"/>
      <c r="D13" s="16"/>
      <c r="E13" s="15"/>
      <c r="F13" s="15"/>
      <c r="G13" s="15"/>
      <c r="H13" s="15"/>
      <c r="I13" s="16"/>
      <c r="J13" s="16"/>
      <c r="K13" s="16"/>
      <c r="L13" s="16"/>
      <c r="M13" s="16"/>
      <c r="N13" s="44"/>
      <c r="O13" s="45"/>
      <c r="P13" s="46"/>
      <c r="Q13" s="46"/>
      <c r="R13" s="46"/>
      <c r="S13" s="46"/>
      <c r="T13" s="216"/>
    </row>
    <row r="14" spans="1:20" ht="13.5" customHeight="1" x14ac:dyDescent="0.2">
      <c r="A14" s="209" t="s">
        <v>54</v>
      </c>
      <c r="B14" s="209" t="s">
        <v>169</v>
      </c>
      <c r="C14" s="219"/>
      <c r="D14" s="16">
        <v>80</v>
      </c>
      <c r="E14" s="16"/>
      <c r="F14" s="16"/>
      <c r="G14" s="16"/>
      <c r="H14" s="15">
        <f>(D14+E14+F14+G14)/4</f>
        <v>20</v>
      </c>
      <c r="I14" s="16"/>
      <c r="J14" s="16"/>
      <c r="K14" s="16"/>
      <c r="L14" s="16"/>
      <c r="M14" s="15">
        <f>(I14+J14+K14+L14)/4</f>
        <v>0</v>
      </c>
      <c r="N14" s="43">
        <v>1</v>
      </c>
      <c r="O14" s="43"/>
      <c r="P14" s="43"/>
      <c r="Q14" s="43"/>
      <c r="R14" s="43"/>
      <c r="S14" s="43">
        <f>SUM(O14:R14)/4</f>
        <v>0</v>
      </c>
      <c r="T14" s="215">
        <f>(H14+N14-0.2*S14)+(M14-0.2*S14)</f>
        <v>21</v>
      </c>
    </row>
    <row r="15" spans="1:20" ht="33" customHeight="1" x14ac:dyDescent="0.2">
      <c r="A15" s="209"/>
      <c r="B15" s="209"/>
      <c r="C15" s="21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47"/>
      <c r="O15" s="48"/>
      <c r="P15" s="46"/>
      <c r="Q15" s="46"/>
      <c r="R15" s="46"/>
      <c r="S15" s="46"/>
      <c r="T15" s="216"/>
    </row>
    <row r="16" spans="1:20" ht="21" customHeight="1" x14ac:dyDescent="0.2">
      <c r="A16" s="205" t="s">
        <v>29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61"/>
      <c r="T16" s="62">
        <f>T12+T14</f>
        <v>42</v>
      </c>
    </row>
    <row r="17" spans="1:20" ht="32.25" customHeight="1" x14ac:dyDescent="0.2">
      <c r="A17" s="356" t="s">
        <v>170</v>
      </c>
      <c r="B17" s="226"/>
      <c r="C17" s="226" t="s">
        <v>14</v>
      </c>
      <c r="D17" s="220" t="s">
        <v>31</v>
      </c>
      <c r="E17" s="220"/>
      <c r="F17" s="220"/>
      <c r="G17" s="220"/>
      <c r="H17" s="220" t="s">
        <v>32</v>
      </c>
      <c r="I17" s="220"/>
      <c r="J17" s="220"/>
      <c r="K17" s="220"/>
      <c r="L17" s="220" t="s">
        <v>33</v>
      </c>
      <c r="M17" s="220"/>
      <c r="N17" s="220"/>
      <c r="O17" s="220"/>
      <c r="P17" s="220" t="s">
        <v>34</v>
      </c>
      <c r="Q17" s="220"/>
      <c r="R17" s="220"/>
      <c r="S17" s="220"/>
      <c r="T17" s="309" t="s">
        <v>171</v>
      </c>
    </row>
    <row r="18" spans="1:20" ht="30" customHeight="1" x14ac:dyDescent="0.2">
      <c r="A18" s="357"/>
      <c r="B18" s="225"/>
      <c r="C18" s="225"/>
      <c r="D18" s="18" t="s">
        <v>35</v>
      </c>
      <c r="E18" s="18" t="s">
        <v>172</v>
      </c>
      <c r="F18" s="18" t="s">
        <v>37</v>
      </c>
      <c r="G18" s="18" t="s">
        <v>39</v>
      </c>
      <c r="H18" s="18" t="s">
        <v>172</v>
      </c>
      <c r="I18" s="18" t="s">
        <v>37</v>
      </c>
      <c r="J18" s="18" t="s">
        <v>35</v>
      </c>
      <c r="K18" s="18" t="s">
        <v>39</v>
      </c>
      <c r="L18" s="18" t="s">
        <v>172</v>
      </c>
      <c r="M18" s="18" t="s">
        <v>37</v>
      </c>
      <c r="N18" s="18" t="s">
        <v>35</v>
      </c>
      <c r="O18" s="18" t="s">
        <v>39</v>
      </c>
      <c r="P18" s="18" t="s">
        <v>172</v>
      </c>
      <c r="Q18" s="18" t="s">
        <v>37</v>
      </c>
      <c r="R18" s="18" t="s">
        <v>35</v>
      </c>
      <c r="S18" s="18" t="s">
        <v>39</v>
      </c>
      <c r="T18" s="310"/>
    </row>
    <row r="19" spans="1:20" ht="11.25" customHeight="1" x14ac:dyDescent="0.2">
      <c r="A19" s="223" t="s">
        <v>50</v>
      </c>
      <c r="B19" s="224" t="s">
        <v>173</v>
      </c>
      <c r="C19" s="13" t="s">
        <v>174</v>
      </c>
      <c r="D19" s="15">
        <v>40</v>
      </c>
      <c r="E19" s="15"/>
      <c r="F19" s="15"/>
      <c r="G19" s="225">
        <f>D19+E19+F19+D20+E20+F20+D21+E21+F21</f>
        <v>40</v>
      </c>
      <c r="H19" s="15">
        <v>120</v>
      </c>
      <c r="I19" s="15"/>
      <c r="J19" s="15"/>
      <c r="K19" s="225">
        <f>H19+I19+J19+H20+I20+J20+H21+I21+J21</f>
        <v>120</v>
      </c>
      <c r="L19" s="15"/>
      <c r="M19" s="15"/>
      <c r="N19" s="15"/>
      <c r="O19" s="225">
        <f>L19+M19+N19+L20+M20+N20+L21+M21+N21</f>
        <v>0</v>
      </c>
      <c r="P19" s="15"/>
      <c r="Q19" s="15"/>
      <c r="R19" s="15"/>
      <c r="S19" s="225">
        <f t="shared" ref="S19" si="0">P19+Q19+R19+P20++Q20+R20+P21+Q21+R21</f>
        <v>0</v>
      </c>
      <c r="T19" s="310">
        <f>(G19+K19+O19+S19)/4</f>
        <v>40</v>
      </c>
    </row>
    <row r="20" spans="1:20" ht="11.25" customHeight="1" x14ac:dyDescent="0.2">
      <c r="A20" s="223"/>
      <c r="B20" s="224"/>
      <c r="C20" s="13" t="s">
        <v>175</v>
      </c>
      <c r="D20" s="15"/>
      <c r="E20" s="15"/>
      <c r="F20" s="15"/>
      <c r="G20" s="225"/>
      <c r="H20" s="15"/>
      <c r="I20" s="15"/>
      <c r="J20" s="15"/>
      <c r="K20" s="225"/>
      <c r="L20" s="15"/>
      <c r="M20" s="15"/>
      <c r="N20" s="15"/>
      <c r="O20" s="225"/>
      <c r="P20" s="15"/>
      <c r="Q20" s="15"/>
      <c r="R20" s="15"/>
      <c r="S20" s="225"/>
      <c r="T20" s="310"/>
    </row>
    <row r="21" spans="1:20" ht="28.5" customHeight="1" x14ac:dyDescent="0.2">
      <c r="A21" s="223"/>
      <c r="B21" s="224"/>
      <c r="C21" s="13" t="s">
        <v>176</v>
      </c>
      <c r="D21" s="15"/>
      <c r="E21" s="15"/>
      <c r="F21" s="15"/>
      <c r="G21" s="225"/>
      <c r="H21" s="15"/>
      <c r="I21" s="15"/>
      <c r="J21" s="15"/>
      <c r="K21" s="225"/>
      <c r="L21" s="15"/>
      <c r="M21" s="15"/>
      <c r="N21" s="15"/>
      <c r="O21" s="225"/>
      <c r="P21" s="15"/>
      <c r="Q21" s="15"/>
      <c r="R21" s="15"/>
      <c r="S21" s="225"/>
      <c r="T21" s="310"/>
    </row>
    <row r="22" spans="1:20" ht="20.25" customHeight="1" x14ac:dyDescent="0.2">
      <c r="A22" s="221" t="s">
        <v>48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1"/>
      <c r="T22" s="63">
        <f>T19</f>
        <v>40</v>
      </c>
    </row>
    <row r="23" spans="1:20" ht="21.75" customHeight="1" x14ac:dyDescent="0.2">
      <c r="A23" s="352" t="s">
        <v>177</v>
      </c>
      <c r="B23" s="353"/>
      <c r="C23" s="226" t="s">
        <v>14</v>
      </c>
      <c r="D23" s="220" t="s">
        <v>31</v>
      </c>
      <c r="E23" s="220"/>
      <c r="F23" s="220"/>
      <c r="G23" s="220"/>
      <c r="H23" s="220" t="s">
        <v>32</v>
      </c>
      <c r="I23" s="220"/>
      <c r="J23" s="220"/>
      <c r="K23" s="220"/>
      <c r="L23" s="220" t="s">
        <v>33</v>
      </c>
      <c r="M23" s="220"/>
      <c r="N23" s="220"/>
      <c r="O23" s="220"/>
      <c r="P23" s="220" t="s">
        <v>34</v>
      </c>
      <c r="Q23" s="220"/>
      <c r="R23" s="220"/>
      <c r="S23" s="220"/>
      <c r="T23" s="311" t="s">
        <v>171</v>
      </c>
    </row>
    <row r="24" spans="1:20" ht="21.75" customHeight="1" x14ac:dyDescent="0.2">
      <c r="A24" s="354"/>
      <c r="B24" s="355"/>
      <c r="C24" s="225"/>
      <c r="D24" s="227" t="s">
        <v>37</v>
      </c>
      <c r="E24" s="228"/>
      <c r="F24" s="228"/>
      <c r="G24" s="229"/>
      <c r="H24" s="227" t="s">
        <v>37</v>
      </c>
      <c r="I24" s="228"/>
      <c r="J24" s="228"/>
      <c r="K24" s="229"/>
      <c r="L24" s="227" t="s">
        <v>37</v>
      </c>
      <c r="M24" s="228"/>
      <c r="N24" s="228"/>
      <c r="O24" s="229"/>
      <c r="P24" s="227" t="s">
        <v>37</v>
      </c>
      <c r="Q24" s="228"/>
      <c r="R24" s="228"/>
      <c r="S24" s="229"/>
      <c r="T24" s="312"/>
    </row>
    <row r="25" spans="1:20" ht="10.5" customHeight="1" x14ac:dyDescent="0.2">
      <c r="A25" s="223" t="s">
        <v>50</v>
      </c>
      <c r="B25" s="373" t="s">
        <v>51</v>
      </c>
      <c r="C25" s="22" t="s">
        <v>52</v>
      </c>
      <c r="D25" s="225">
        <v>40</v>
      </c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310">
        <f>(D25+H25+L25+P25+D26+H26+L26+P26)/4</f>
        <v>10</v>
      </c>
    </row>
    <row r="26" spans="1:20" ht="10.5" customHeight="1" x14ac:dyDescent="0.2">
      <c r="A26" s="223"/>
      <c r="B26" s="374"/>
      <c r="C26" s="23" t="s">
        <v>178</v>
      </c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310"/>
    </row>
    <row r="27" spans="1:20" ht="10.5" customHeight="1" x14ac:dyDescent="0.2">
      <c r="A27" s="223" t="s">
        <v>54</v>
      </c>
      <c r="B27" s="331" t="s">
        <v>55</v>
      </c>
      <c r="C27" s="23" t="s">
        <v>56</v>
      </c>
      <c r="D27" s="225">
        <v>40</v>
      </c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310">
        <f>(D27+H27+L27+P27+D28+H28+L28+P28)/4</f>
        <v>10</v>
      </c>
    </row>
    <row r="28" spans="1:20" ht="10.5" customHeight="1" x14ac:dyDescent="0.2">
      <c r="A28" s="223"/>
      <c r="B28" s="331"/>
      <c r="C28" s="23" t="s">
        <v>178</v>
      </c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310"/>
    </row>
    <row r="29" spans="1:20" ht="10.5" customHeight="1" x14ac:dyDescent="0.2">
      <c r="A29" s="223" t="s">
        <v>57</v>
      </c>
      <c r="B29" s="331" t="s">
        <v>58</v>
      </c>
      <c r="C29" s="13" t="s">
        <v>59</v>
      </c>
      <c r="D29" s="225">
        <v>40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310">
        <f>(D29+H29+L29+P29+D30+H30+L30+P30)/4</f>
        <v>10</v>
      </c>
    </row>
    <row r="30" spans="1:20" ht="10.5" customHeight="1" x14ac:dyDescent="0.2">
      <c r="A30" s="292"/>
      <c r="B30" s="375"/>
      <c r="C30" s="24" t="s">
        <v>179</v>
      </c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310"/>
    </row>
    <row r="31" spans="1:20" ht="10.5" customHeight="1" x14ac:dyDescent="0.2">
      <c r="A31" s="243" t="s">
        <v>61</v>
      </c>
      <c r="B31" s="325" t="s">
        <v>62</v>
      </c>
      <c r="C31" s="26" t="s">
        <v>63</v>
      </c>
      <c r="D31" s="225">
        <v>40</v>
      </c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313">
        <f>(D31+H31+L31+P31+D32+H32+L32+P32+D33+H33+L33+P33)/4</f>
        <v>10</v>
      </c>
    </row>
    <row r="32" spans="1:20" ht="10.5" customHeight="1" x14ac:dyDescent="0.2">
      <c r="A32" s="223"/>
      <c r="B32" s="331"/>
      <c r="C32" s="27" t="s">
        <v>180</v>
      </c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313"/>
    </row>
    <row r="33" spans="1:20" ht="10.5" customHeight="1" x14ac:dyDescent="0.2">
      <c r="A33" s="244"/>
      <c r="B33" s="326"/>
      <c r="C33" s="29" t="s">
        <v>181</v>
      </c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313"/>
    </row>
    <row r="34" spans="1:20" ht="18.75" customHeight="1" x14ac:dyDescent="0.2">
      <c r="A34" s="230" t="s">
        <v>66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2"/>
      <c r="T34" s="64">
        <f>T25+T27+T29+T31</f>
        <v>40</v>
      </c>
    </row>
    <row r="35" spans="1:20" ht="25.5" customHeight="1" x14ac:dyDescent="0.2">
      <c r="A35" s="233" t="s">
        <v>67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65">
        <f>T16+T22+T34</f>
        <v>122</v>
      </c>
    </row>
    <row r="36" spans="1:20" ht="18.75" customHeight="1" x14ac:dyDescent="0.2">
      <c r="A36" s="30" t="s">
        <v>182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6"/>
    </row>
    <row r="37" spans="1:20" ht="15" customHeight="1" x14ac:dyDescent="0.2">
      <c r="A37" s="32" t="s">
        <v>183</v>
      </c>
      <c r="B37" s="33"/>
      <c r="C37" s="33"/>
      <c r="D37" s="33"/>
      <c r="E37" s="33"/>
      <c r="F37" s="33"/>
      <c r="G37" s="33"/>
      <c r="H37" s="33"/>
      <c r="I37" s="33"/>
      <c r="J37" s="235" t="s">
        <v>184</v>
      </c>
      <c r="K37" s="235"/>
      <c r="L37" s="235"/>
      <c r="M37" s="235"/>
      <c r="N37" s="235"/>
      <c r="O37" s="236"/>
      <c r="P37" s="49" t="s">
        <v>185</v>
      </c>
      <c r="Q37" s="49" t="s">
        <v>186</v>
      </c>
      <c r="R37" s="67" t="s">
        <v>187</v>
      </c>
      <c r="S37" s="49" t="s">
        <v>188</v>
      </c>
      <c r="T37" s="68" t="s">
        <v>165</v>
      </c>
    </row>
    <row r="38" spans="1:20" ht="10.5" customHeight="1" x14ac:dyDescent="0.2">
      <c r="A38" s="293" t="s">
        <v>71</v>
      </c>
      <c r="B38" s="349" t="s">
        <v>189</v>
      </c>
      <c r="C38" s="240"/>
      <c r="D38" s="240"/>
      <c r="E38" s="240"/>
      <c r="F38" s="240"/>
      <c r="G38" s="240"/>
      <c r="H38" s="240"/>
      <c r="I38" s="240"/>
      <c r="J38" s="237" t="s">
        <v>190</v>
      </c>
      <c r="K38" s="237"/>
      <c r="L38" s="237"/>
      <c r="M38" s="237"/>
      <c r="N38" s="237"/>
      <c r="O38" s="237"/>
      <c r="P38" s="50"/>
      <c r="Q38" s="50"/>
      <c r="R38" s="50"/>
      <c r="S38" s="50"/>
      <c r="T38" s="69">
        <f>P38+Q38+R38+S38/4</f>
        <v>0</v>
      </c>
    </row>
    <row r="39" spans="1:20" ht="10.5" customHeight="1" x14ac:dyDescent="0.2">
      <c r="A39" s="294"/>
      <c r="B39" s="350"/>
      <c r="C39" s="350"/>
      <c r="D39" s="350"/>
      <c r="E39" s="350"/>
      <c r="F39" s="350"/>
      <c r="G39" s="350"/>
      <c r="H39" s="350"/>
      <c r="I39" s="350"/>
      <c r="J39" s="238" t="s">
        <v>191</v>
      </c>
      <c r="K39" s="238"/>
      <c r="L39" s="238"/>
      <c r="M39" s="238"/>
      <c r="N39" s="238"/>
      <c r="O39" s="238"/>
      <c r="P39" s="51"/>
      <c r="Q39" s="51"/>
      <c r="R39" s="51"/>
      <c r="S39" s="51"/>
      <c r="T39" s="69">
        <f t="shared" ref="T39:T43" si="1">P39+Q39+R39+S39/4</f>
        <v>0</v>
      </c>
    </row>
    <row r="40" spans="1:20" ht="10.5" customHeight="1" x14ac:dyDescent="0.2">
      <c r="A40" s="294"/>
      <c r="B40" s="350"/>
      <c r="C40" s="350"/>
      <c r="D40" s="350"/>
      <c r="E40" s="350"/>
      <c r="F40" s="350"/>
      <c r="G40" s="350"/>
      <c r="H40" s="350"/>
      <c r="I40" s="350"/>
      <c r="J40" s="238" t="s">
        <v>192</v>
      </c>
      <c r="K40" s="238"/>
      <c r="L40" s="238"/>
      <c r="M40" s="238"/>
      <c r="N40" s="238"/>
      <c r="O40" s="238"/>
      <c r="P40" s="51"/>
      <c r="Q40" s="51"/>
      <c r="R40" s="51"/>
      <c r="S40" s="51"/>
      <c r="T40" s="69">
        <f t="shared" si="1"/>
        <v>0</v>
      </c>
    </row>
    <row r="41" spans="1:20" ht="10.5" customHeight="1" x14ac:dyDescent="0.2">
      <c r="A41" s="294"/>
      <c r="B41" s="350"/>
      <c r="C41" s="350"/>
      <c r="D41" s="350"/>
      <c r="E41" s="350"/>
      <c r="F41" s="350"/>
      <c r="G41" s="350"/>
      <c r="H41" s="350"/>
      <c r="I41" s="350"/>
      <c r="J41" s="238" t="s">
        <v>193</v>
      </c>
      <c r="K41" s="238"/>
      <c r="L41" s="238"/>
      <c r="M41" s="238"/>
      <c r="N41" s="238"/>
      <c r="O41" s="238"/>
      <c r="P41" s="51"/>
      <c r="Q41" s="51"/>
      <c r="R41" s="51"/>
      <c r="S41" s="51"/>
      <c r="T41" s="69">
        <f t="shared" si="1"/>
        <v>0</v>
      </c>
    </row>
    <row r="42" spans="1:20" ht="10.5" customHeight="1" x14ac:dyDescent="0.2">
      <c r="A42" s="294"/>
      <c r="B42" s="350"/>
      <c r="C42" s="350"/>
      <c r="D42" s="350"/>
      <c r="E42" s="350"/>
      <c r="F42" s="350"/>
      <c r="G42" s="350"/>
      <c r="H42" s="350"/>
      <c r="I42" s="350"/>
      <c r="J42" s="238" t="s">
        <v>194</v>
      </c>
      <c r="K42" s="238"/>
      <c r="L42" s="238"/>
      <c r="M42" s="238"/>
      <c r="N42" s="238"/>
      <c r="O42" s="238"/>
      <c r="P42" s="51"/>
      <c r="Q42" s="51"/>
      <c r="R42" s="51"/>
      <c r="S42" s="51"/>
      <c r="T42" s="69">
        <f t="shared" si="1"/>
        <v>0</v>
      </c>
    </row>
    <row r="43" spans="1:20" ht="17.25" customHeight="1" x14ac:dyDescent="0.2">
      <c r="A43" s="295"/>
      <c r="B43" s="351"/>
      <c r="C43" s="351"/>
      <c r="D43" s="351"/>
      <c r="E43" s="351"/>
      <c r="F43" s="351"/>
      <c r="G43" s="351"/>
      <c r="H43" s="351"/>
      <c r="I43" s="351"/>
      <c r="J43" s="239" t="s">
        <v>195</v>
      </c>
      <c r="K43" s="239"/>
      <c r="L43" s="239"/>
      <c r="M43" s="239"/>
      <c r="N43" s="239"/>
      <c r="O43" s="239"/>
      <c r="P43" s="52"/>
      <c r="Q43" s="52"/>
      <c r="R43" s="52"/>
      <c r="S43" s="52"/>
      <c r="T43" s="69">
        <f t="shared" si="1"/>
        <v>0</v>
      </c>
    </row>
    <row r="44" spans="1:20" ht="16.5" customHeight="1" x14ac:dyDescent="0.2">
      <c r="A44" s="34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53"/>
      <c r="M44" s="53"/>
      <c r="N44" s="53"/>
      <c r="O44" s="54"/>
      <c r="P44" s="55"/>
      <c r="Q44" s="55"/>
      <c r="R44" s="55"/>
      <c r="S44" s="55"/>
      <c r="T44" s="70">
        <f>T38+T39+T40+T41+T42+T43</f>
        <v>0</v>
      </c>
    </row>
    <row r="45" spans="1:20" ht="11.25" customHeight="1" x14ac:dyDescent="0.2">
      <c r="A45" s="243" t="s">
        <v>79</v>
      </c>
      <c r="B45" s="226" t="s">
        <v>80</v>
      </c>
      <c r="C45" s="220"/>
      <c r="D45" s="220"/>
      <c r="E45" s="220"/>
      <c r="F45" s="220"/>
      <c r="G45" s="220"/>
      <c r="H45" s="220"/>
      <c r="I45" s="220"/>
      <c r="J45" s="237" t="s">
        <v>94</v>
      </c>
      <c r="K45" s="237"/>
      <c r="L45" s="237"/>
      <c r="M45" s="237"/>
      <c r="N45" s="237"/>
      <c r="O45" s="237"/>
      <c r="P45" s="50"/>
      <c r="Q45" s="50"/>
      <c r="R45" s="50"/>
      <c r="S45" s="50"/>
      <c r="T45" s="69">
        <f>P45+Q45+R45+S45</f>
        <v>0</v>
      </c>
    </row>
    <row r="46" spans="1:20" ht="11.25" customHeight="1" x14ac:dyDescent="0.2">
      <c r="A46" s="223"/>
      <c r="B46" s="216"/>
      <c r="C46" s="216"/>
      <c r="D46" s="216"/>
      <c r="E46" s="216"/>
      <c r="F46" s="216"/>
      <c r="G46" s="216"/>
      <c r="H46" s="216"/>
      <c r="I46" s="216"/>
      <c r="J46" s="238" t="s">
        <v>196</v>
      </c>
      <c r="K46" s="238"/>
      <c r="L46" s="238"/>
      <c r="M46" s="238"/>
      <c r="N46" s="238"/>
      <c r="O46" s="238"/>
      <c r="P46" s="51"/>
      <c r="Q46" s="51"/>
      <c r="R46" s="51"/>
      <c r="S46" s="51"/>
      <c r="T46" s="69">
        <f t="shared" ref="T46:T49" si="2">P46+Q46+R46+S46</f>
        <v>0</v>
      </c>
    </row>
    <row r="47" spans="1:20" ht="11.25" customHeight="1" x14ac:dyDescent="0.2">
      <c r="A47" s="223"/>
      <c r="B47" s="216"/>
      <c r="C47" s="216"/>
      <c r="D47" s="216"/>
      <c r="E47" s="216"/>
      <c r="F47" s="216"/>
      <c r="G47" s="216"/>
      <c r="H47" s="216"/>
      <c r="I47" s="216"/>
      <c r="J47" s="238" t="s">
        <v>197</v>
      </c>
      <c r="K47" s="238"/>
      <c r="L47" s="238"/>
      <c r="M47" s="238"/>
      <c r="N47" s="238"/>
      <c r="O47" s="238"/>
      <c r="P47" s="51"/>
      <c r="Q47" s="51"/>
      <c r="R47" s="51"/>
      <c r="S47" s="51"/>
      <c r="T47" s="69">
        <f t="shared" si="2"/>
        <v>0</v>
      </c>
    </row>
    <row r="48" spans="1:20" ht="11.25" customHeight="1" x14ac:dyDescent="0.2">
      <c r="A48" s="223"/>
      <c r="B48" s="216"/>
      <c r="C48" s="216"/>
      <c r="D48" s="216"/>
      <c r="E48" s="216"/>
      <c r="F48" s="216"/>
      <c r="G48" s="216"/>
      <c r="H48" s="216"/>
      <c r="I48" s="216"/>
      <c r="J48" s="238" t="s">
        <v>198</v>
      </c>
      <c r="K48" s="238"/>
      <c r="L48" s="238"/>
      <c r="M48" s="238"/>
      <c r="N48" s="238"/>
      <c r="O48" s="238"/>
      <c r="P48" s="51"/>
      <c r="Q48" s="51"/>
      <c r="R48" s="51"/>
      <c r="S48" s="51"/>
      <c r="T48" s="69">
        <f t="shared" si="2"/>
        <v>0</v>
      </c>
    </row>
    <row r="49" spans="1:20" ht="11.25" customHeight="1" x14ac:dyDescent="0.2">
      <c r="A49" s="223"/>
      <c r="B49" s="216"/>
      <c r="C49" s="216"/>
      <c r="D49" s="216"/>
      <c r="E49" s="216"/>
      <c r="F49" s="216"/>
      <c r="G49" s="216"/>
      <c r="H49" s="216"/>
      <c r="I49" s="216"/>
      <c r="J49" s="238" t="s">
        <v>199</v>
      </c>
      <c r="K49" s="238"/>
      <c r="L49" s="238"/>
      <c r="M49" s="238"/>
      <c r="N49" s="238"/>
      <c r="O49" s="238"/>
      <c r="P49" s="51"/>
      <c r="Q49" s="51"/>
      <c r="R49" s="51"/>
      <c r="S49" s="51"/>
      <c r="T49" s="69">
        <f t="shared" si="2"/>
        <v>0</v>
      </c>
    </row>
    <row r="50" spans="1:20" ht="18.75" customHeight="1" x14ac:dyDescent="0.2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56"/>
      <c r="M50" s="56"/>
      <c r="N50" s="56"/>
      <c r="O50" s="56"/>
      <c r="P50" s="57"/>
      <c r="Q50" s="55"/>
      <c r="R50" s="55"/>
      <c r="S50" s="71"/>
      <c r="T50" s="72">
        <f>T45+T46+T47+T48+T49</f>
        <v>0</v>
      </c>
    </row>
    <row r="51" spans="1:20" ht="18.75" customHeight="1" x14ac:dyDescent="0.2">
      <c r="A51" s="243" t="s">
        <v>81</v>
      </c>
      <c r="B51" s="226" t="s">
        <v>82</v>
      </c>
      <c r="C51" s="220"/>
      <c r="D51" s="220"/>
      <c r="E51" s="220"/>
      <c r="F51" s="220"/>
      <c r="G51" s="220"/>
      <c r="H51" s="220"/>
      <c r="I51" s="220"/>
      <c r="J51" s="237" t="s">
        <v>94</v>
      </c>
      <c r="K51" s="237"/>
      <c r="L51" s="237"/>
      <c r="M51" s="237"/>
      <c r="N51" s="237"/>
      <c r="O51" s="237"/>
      <c r="P51" s="50"/>
      <c r="Q51" s="50"/>
      <c r="R51" s="50"/>
      <c r="S51" s="50"/>
      <c r="T51" s="69">
        <f>P51+Q51+R51+S51</f>
        <v>0</v>
      </c>
    </row>
    <row r="52" spans="1:20" ht="18.75" customHeight="1" x14ac:dyDescent="0.2">
      <c r="A52" s="223"/>
      <c r="B52" s="216"/>
      <c r="C52" s="216"/>
      <c r="D52" s="216"/>
      <c r="E52" s="216"/>
      <c r="F52" s="216"/>
      <c r="G52" s="216"/>
      <c r="H52" s="216"/>
      <c r="I52" s="216"/>
      <c r="J52" s="238" t="s">
        <v>196</v>
      </c>
      <c r="K52" s="238"/>
      <c r="L52" s="238"/>
      <c r="M52" s="238"/>
      <c r="N52" s="238"/>
      <c r="O52" s="238"/>
      <c r="P52" s="51"/>
      <c r="Q52" s="51"/>
      <c r="R52" s="51"/>
      <c r="S52" s="51"/>
      <c r="T52" s="69">
        <f t="shared" ref="T52:T55" si="3">P52+Q52+R52+S52</f>
        <v>0</v>
      </c>
    </row>
    <row r="53" spans="1:20" ht="18.75" customHeight="1" x14ac:dyDescent="0.2">
      <c r="A53" s="223"/>
      <c r="B53" s="216"/>
      <c r="C53" s="216"/>
      <c r="D53" s="216"/>
      <c r="E53" s="216"/>
      <c r="F53" s="216"/>
      <c r="G53" s="216"/>
      <c r="H53" s="216"/>
      <c r="I53" s="216"/>
      <c r="J53" s="238" t="s">
        <v>197</v>
      </c>
      <c r="K53" s="238"/>
      <c r="L53" s="238"/>
      <c r="M53" s="238"/>
      <c r="N53" s="238"/>
      <c r="O53" s="238"/>
      <c r="P53" s="51"/>
      <c r="Q53" s="51"/>
      <c r="R53" s="51"/>
      <c r="S53" s="51"/>
      <c r="T53" s="69">
        <f t="shared" si="3"/>
        <v>0</v>
      </c>
    </row>
    <row r="54" spans="1:20" ht="18.75" customHeight="1" x14ac:dyDescent="0.2">
      <c r="A54" s="223"/>
      <c r="B54" s="216"/>
      <c r="C54" s="216"/>
      <c r="D54" s="216"/>
      <c r="E54" s="216"/>
      <c r="F54" s="216"/>
      <c r="G54" s="216"/>
      <c r="H54" s="216"/>
      <c r="I54" s="216"/>
      <c r="J54" s="238" t="s">
        <v>198</v>
      </c>
      <c r="K54" s="238"/>
      <c r="L54" s="238"/>
      <c r="M54" s="238"/>
      <c r="N54" s="238"/>
      <c r="O54" s="238"/>
      <c r="P54" s="51"/>
      <c r="Q54" s="51"/>
      <c r="R54" s="51"/>
      <c r="S54" s="51"/>
      <c r="T54" s="69">
        <f t="shared" si="3"/>
        <v>0</v>
      </c>
    </row>
    <row r="55" spans="1:20" ht="18.75" customHeight="1" x14ac:dyDescent="0.2">
      <c r="A55" s="223"/>
      <c r="B55" s="216"/>
      <c r="C55" s="216"/>
      <c r="D55" s="216"/>
      <c r="E55" s="216"/>
      <c r="F55" s="216"/>
      <c r="G55" s="216"/>
      <c r="H55" s="216"/>
      <c r="I55" s="216"/>
      <c r="J55" s="238" t="s">
        <v>199</v>
      </c>
      <c r="K55" s="238"/>
      <c r="L55" s="238"/>
      <c r="M55" s="238"/>
      <c r="N55" s="238"/>
      <c r="O55" s="238"/>
      <c r="P55" s="51"/>
      <c r="Q55" s="51"/>
      <c r="R55" s="51"/>
      <c r="S55" s="51"/>
      <c r="T55" s="69">
        <f t="shared" si="3"/>
        <v>0</v>
      </c>
    </row>
    <row r="56" spans="1:20" ht="18.75" customHeight="1" x14ac:dyDescent="0.2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56"/>
      <c r="M56" s="56"/>
      <c r="N56" s="56"/>
      <c r="O56" s="56"/>
      <c r="P56" s="57"/>
      <c r="Q56" s="55"/>
      <c r="R56" s="55"/>
      <c r="S56" s="71"/>
      <c r="T56" s="72">
        <f>T51+T52+T53+T54+T55</f>
        <v>0</v>
      </c>
    </row>
    <row r="57" spans="1:20" ht="9.75" customHeight="1" x14ac:dyDescent="0.2">
      <c r="A57" s="243" t="s">
        <v>83</v>
      </c>
      <c r="B57" s="255" t="s">
        <v>200</v>
      </c>
      <c r="C57" s="255"/>
      <c r="D57" s="255"/>
      <c r="E57" s="255"/>
      <c r="F57" s="255"/>
      <c r="G57" s="255"/>
      <c r="H57" s="255"/>
      <c r="I57" s="255"/>
      <c r="J57" s="237" t="s">
        <v>201</v>
      </c>
      <c r="K57" s="237"/>
      <c r="L57" s="237"/>
      <c r="M57" s="237"/>
      <c r="N57" s="237"/>
      <c r="O57" s="237"/>
      <c r="P57" s="50"/>
      <c r="Q57" s="50"/>
      <c r="R57" s="50"/>
      <c r="S57" s="50"/>
      <c r="T57" s="69">
        <f>P57+Q57+R57+S57</f>
        <v>0</v>
      </c>
    </row>
    <row r="58" spans="1:20" ht="9.75" customHeight="1" x14ac:dyDescent="0.2">
      <c r="A58" s="223"/>
      <c r="B58" s="219"/>
      <c r="C58" s="219"/>
      <c r="D58" s="219"/>
      <c r="E58" s="219"/>
      <c r="F58" s="219"/>
      <c r="G58" s="219"/>
      <c r="H58" s="219"/>
      <c r="I58" s="219"/>
      <c r="J58" s="238" t="s">
        <v>202</v>
      </c>
      <c r="K58" s="238"/>
      <c r="L58" s="238"/>
      <c r="M58" s="238"/>
      <c r="N58" s="238"/>
      <c r="O58" s="238"/>
      <c r="P58" s="51"/>
      <c r="Q58" s="51"/>
      <c r="R58" s="51"/>
      <c r="S58" s="51"/>
      <c r="T58" s="69">
        <f t="shared" ref="T58:T61" si="4">P58+Q58+R58+S58</f>
        <v>0</v>
      </c>
    </row>
    <row r="59" spans="1:20" ht="9.75" customHeight="1" x14ac:dyDescent="0.2">
      <c r="A59" s="223"/>
      <c r="B59" s="219"/>
      <c r="C59" s="219"/>
      <c r="D59" s="219"/>
      <c r="E59" s="219"/>
      <c r="F59" s="219"/>
      <c r="G59" s="219"/>
      <c r="H59" s="219"/>
      <c r="I59" s="219"/>
      <c r="J59" s="238" t="s">
        <v>203</v>
      </c>
      <c r="K59" s="238"/>
      <c r="L59" s="238"/>
      <c r="M59" s="238"/>
      <c r="N59" s="238"/>
      <c r="O59" s="238"/>
      <c r="P59" s="51"/>
      <c r="Q59" s="51"/>
      <c r="R59" s="51"/>
      <c r="S59" s="51"/>
      <c r="T59" s="69">
        <f t="shared" si="4"/>
        <v>0</v>
      </c>
    </row>
    <row r="60" spans="1:20" ht="9.75" customHeight="1" x14ac:dyDescent="0.2">
      <c r="A60" s="223"/>
      <c r="B60" s="219"/>
      <c r="C60" s="219"/>
      <c r="D60" s="219"/>
      <c r="E60" s="219"/>
      <c r="F60" s="219"/>
      <c r="G60" s="219"/>
      <c r="H60" s="219"/>
      <c r="I60" s="219"/>
      <c r="J60" s="238" t="s">
        <v>204</v>
      </c>
      <c r="K60" s="238"/>
      <c r="L60" s="238"/>
      <c r="M60" s="238"/>
      <c r="N60" s="238"/>
      <c r="O60" s="238"/>
      <c r="P60" s="51"/>
      <c r="Q60" s="51"/>
      <c r="R60" s="51"/>
      <c r="S60" s="51"/>
      <c r="T60" s="69">
        <f t="shared" si="4"/>
        <v>0</v>
      </c>
    </row>
    <row r="61" spans="1:20" ht="78" customHeight="1" x14ac:dyDescent="0.2">
      <c r="A61" s="244"/>
      <c r="B61" s="256"/>
      <c r="C61" s="256"/>
      <c r="D61" s="256"/>
      <c r="E61" s="256"/>
      <c r="F61" s="256"/>
      <c r="G61" s="256"/>
      <c r="H61" s="256"/>
      <c r="I61" s="256"/>
      <c r="J61" s="245" t="s">
        <v>205</v>
      </c>
      <c r="K61" s="245"/>
      <c r="L61" s="245"/>
      <c r="M61" s="245"/>
      <c r="N61" s="245"/>
      <c r="O61" s="245"/>
      <c r="P61" s="52"/>
      <c r="Q61" s="52"/>
      <c r="R61" s="52"/>
      <c r="S61" s="52"/>
      <c r="T61" s="69">
        <f t="shared" si="4"/>
        <v>0</v>
      </c>
    </row>
    <row r="62" spans="1:20" ht="16.5" customHeight="1" x14ac:dyDescent="0.2">
      <c r="A62" s="3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56"/>
      <c r="M62" s="56"/>
      <c r="N62" s="56"/>
      <c r="O62" s="56"/>
      <c r="P62" s="57"/>
      <c r="Q62" s="55"/>
      <c r="R62" s="55"/>
      <c r="S62" s="71"/>
      <c r="T62" s="73">
        <f>T57+T58+T59+T61</f>
        <v>0</v>
      </c>
    </row>
    <row r="63" spans="1:20" ht="18" customHeight="1" x14ac:dyDescent="0.2">
      <c r="A63" s="243" t="s">
        <v>89</v>
      </c>
      <c r="B63" s="249" t="s">
        <v>88</v>
      </c>
      <c r="C63" s="250"/>
      <c r="D63" s="250"/>
      <c r="E63" s="250"/>
      <c r="F63" s="250"/>
      <c r="G63" s="250"/>
      <c r="H63" s="250"/>
      <c r="I63" s="250"/>
      <c r="J63" s="237" t="s">
        <v>206</v>
      </c>
      <c r="K63" s="237"/>
      <c r="L63" s="237"/>
      <c r="M63" s="237"/>
      <c r="N63" s="237"/>
      <c r="O63" s="237"/>
      <c r="P63" s="50">
        <v>3</v>
      </c>
      <c r="Q63" s="50"/>
      <c r="R63" s="50"/>
      <c r="S63" s="50"/>
      <c r="T63" s="74">
        <f>P63+Q63+R63+S63</f>
        <v>3</v>
      </c>
    </row>
    <row r="64" spans="1:20" ht="10.5" customHeight="1" x14ac:dyDescent="0.2">
      <c r="A64" s="223"/>
      <c r="B64" s="251"/>
      <c r="C64" s="252"/>
      <c r="D64" s="252"/>
      <c r="E64" s="252"/>
      <c r="F64" s="252"/>
      <c r="G64" s="252"/>
      <c r="H64" s="252"/>
      <c r="I64" s="252"/>
      <c r="J64" s="238" t="s">
        <v>207</v>
      </c>
      <c r="K64" s="238"/>
      <c r="L64" s="238"/>
      <c r="M64" s="238"/>
      <c r="N64" s="238"/>
      <c r="O64" s="238"/>
      <c r="P64" s="51"/>
      <c r="Q64" s="51"/>
      <c r="R64" s="51"/>
      <c r="S64" s="51"/>
      <c r="T64" s="74">
        <f t="shared" ref="T64:T67" si="5">P64+Q64+R64+S64</f>
        <v>0</v>
      </c>
    </row>
    <row r="65" spans="1:20" ht="10.5" customHeight="1" x14ac:dyDescent="0.2">
      <c r="A65" s="223"/>
      <c r="B65" s="251"/>
      <c r="C65" s="252"/>
      <c r="D65" s="252"/>
      <c r="E65" s="252"/>
      <c r="F65" s="252"/>
      <c r="G65" s="252"/>
      <c r="H65" s="252"/>
      <c r="I65" s="252"/>
      <c r="J65" s="238" t="s">
        <v>208</v>
      </c>
      <c r="K65" s="238"/>
      <c r="L65" s="238"/>
      <c r="M65" s="238"/>
      <c r="N65" s="238"/>
      <c r="O65" s="238"/>
      <c r="P65" s="51"/>
      <c r="Q65" s="51"/>
      <c r="R65" s="51"/>
      <c r="S65" s="51"/>
      <c r="T65" s="74">
        <f t="shared" si="5"/>
        <v>0</v>
      </c>
    </row>
    <row r="66" spans="1:20" ht="10.5" customHeight="1" x14ac:dyDescent="0.2">
      <c r="A66" s="223"/>
      <c r="B66" s="251"/>
      <c r="C66" s="252"/>
      <c r="D66" s="252"/>
      <c r="E66" s="252"/>
      <c r="F66" s="252"/>
      <c r="G66" s="252"/>
      <c r="H66" s="252"/>
      <c r="I66" s="252"/>
      <c r="J66" s="238" t="s">
        <v>209</v>
      </c>
      <c r="K66" s="238"/>
      <c r="L66" s="238"/>
      <c r="M66" s="238"/>
      <c r="N66" s="238"/>
      <c r="O66" s="238"/>
      <c r="P66" s="51"/>
      <c r="Q66" s="51"/>
      <c r="R66" s="51"/>
      <c r="S66" s="51"/>
      <c r="T66" s="74">
        <f t="shared" si="5"/>
        <v>0</v>
      </c>
    </row>
    <row r="67" spans="1:20" ht="13.5" customHeight="1" x14ac:dyDescent="0.2">
      <c r="A67" s="244"/>
      <c r="B67" s="253"/>
      <c r="C67" s="254"/>
      <c r="D67" s="254"/>
      <c r="E67" s="254"/>
      <c r="F67" s="254"/>
      <c r="G67" s="254"/>
      <c r="H67" s="254"/>
      <c r="I67" s="254"/>
      <c r="J67" s="239" t="s">
        <v>210</v>
      </c>
      <c r="K67" s="239"/>
      <c r="L67" s="239"/>
      <c r="M67" s="239"/>
      <c r="N67" s="239"/>
      <c r="O67" s="239"/>
      <c r="P67" s="52"/>
      <c r="Q67" s="52"/>
      <c r="R67" s="52"/>
      <c r="S67" s="52"/>
      <c r="T67" s="74">
        <f t="shared" si="5"/>
        <v>0</v>
      </c>
    </row>
    <row r="68" spans="1:20" ht="21.75" customHeight="1" x14ac:dyDescent="0.2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56"/>
      <c r="M68" s="56"/>
      <c r="N68" s="56"/>
      <c r="O68" s="56"/>
      <c r="P68" s="57"/>
      <c r="Q68" s="55"/>
      <c r="R68" s="55"/>
      <c r="S68" s="71"/>
      <c r="T68" s="114">
        <f>T63+T64+T66+T67</f>
        <v>3</v>
      </c>
    </row>
    <row r="69" spans="1:20" ht="12" customHeight="1" x14ac:dyDescent="0.2">
      <c r="A69" s="243" t="s">
        <v>87</v>
      </c>
      <c r="B69" s="255" t="s">
        <v>90</v>
      </c>
      <c r="C69" s="255"/>
      <c r="D69" s="255"/>
      <c r="E69" s="255"/>
      <c r="F69" s="255"/>
      <c r="G69" s="255"/>
      <c r="H69" s="255"/>
      <c r="I69" s="255"/>
      <c r="J69" s="237" t="s">
        <v>207</v>
      </c>
      <c r="K69" s="237"/>
      <c r="L69" s="237"/>
      <c r="M69" s="237"/>
      <c r="N69" s="237"/>
      <c r="O69" s="237"/>
      <c r="P69" s="50"/>
      <c r="Q69" s="50"/>
      <c r="R69" s="50"/>
      <c r="S69" s="69"/>
      <c r="T69" s="115">
        <f>P69+Q69+R69+S69</f>
        <v>0</v>
      </c>
    </row>
    <row r="70" spans="1:20" ht="12" customHeight="1" x14ac:dyDescent="0.2">
      <c r="A70" s="223"/>
      <c r="B70" s="219"/>
      <c r="C70" s="219"/>
      <c r="D70" s="219"/>
      <c r="E70" s="219"/>
      <c r="F70" s="219"/>
      <c r="G70" s="219"/>
      <c r="H70" s="219"/>
      <c r="I70" s="219"/>
      <c r="J70" s="238" t="s">
        <v>211</v>
      </c>
      <c r="K70" s="238"/>
      <c r="L70" s="238"/>
      <c r="M70" s="238"/>
      <c r="N70" s="238"/>
      <c r="O70" s="238"/>
      <c r="P70" s="16"/>
      <c r="Q70" s="116"/>
      <c r="R70" s="51"/>
      <c r="S70" s="117"/>
      <c r="T70" s="115">
        <f t="shared" ref="T70:T72" si="6">P70+Q70+R70+S70</f>
        <v>0</v>
      </c>
    </row>
    <row r="71" spans="1:20" ht="12" customHeight="1" x14ac:dyDescent="0.2">
      <c r="A71" s="223"/>
      <c r="B71" s="219"/>
      <c r="C71" s="219"/>
      <c r="D71" s="219"/>
      <c r="E71" s="219"/>
      <c r="F71" s="219"/>
      <c r="G71" s="219"/>
      <c r="H71" s="219"/>
      <c r="I71" s="219"/>
      <c r="J71" s="238" t="s">
        <v>203</v>
      </c>
      <c r="K71" s="238"/>
      <c r="L71" s="238"/>
      <c r="M71" s="238"/>
      <c r="N71" s="238"/>
      <c r="O71" s="238"/>
      <c r="P71" s="16"/>
      <c r="Q71" s="116"/>
      <c r="R71" s="51"/>
      <c r="S71" s="117"/>
      <c r="T71" s="115">
        <f t="shared" si="6"/>
        <v>0</v>
      </c>
    </row>
    <row r="72" spans="1:20" ht="12" customHeight="1" x14ac:dyDescent="0.2">
      <c r="A72" s="244"/>
      <c r="B72" s="256"/>
      <c r="C72" s="256"/>
      <c r="D72" s="256"/>
      <c r="E72" s="256"/>
      <c r="F72" s="256"/>
      <c r="G72" s="256"/>
      <c r="H72" s="256"/>
      <c r="I72" s="256"/>
      <c r="J72" s="239" t="s">
        <v>212</v>
      </c>
      <c r="K72" s="239"/>
      <c r="L72" s="239"/>
      <c r="M72" s="239"/>
      <c r="N72" s="239"/>
      <c r="O72" s="239"/>
      <c r="P72" s="96"/>
      <c r="Q72" s="118"/>
      <c r="R72" s="52"/>
      <c r="S72" s="119"/>
      <c r="T72" s="115">
        <f t="shared" si="6"/>
        <v>0</v>
      </c>
    </row>
    <row r="73" spans="1:20" ht="9.75" customHeight="1" x14ac:dyDescent="0.2">
      <c r="A73" s="37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56"/>
      <c r="M73" s="56"/>
      <c r="N73" s="56"/>
      <c r="O73" s="56"/>
      <c r="P73" s="97"/>
      <c r="Q73" s="120"/>
      <c r="R73" s="121"/>
      <c r="S73" s="121"/>
      <c r="T73" s="122">
        <f>T69+T70+T71+T72</f>
        <v>0</v>
      </c>
    </row>
    <row r="74" spans="1:20" ht="21.75" customHeight="1" x14ac:dyDescent="0.2">
      <c r="A74" s="246" t="s">
        <v>213</v>
      </c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8"/>
      <c r="T74" s="123">
        <f>T44+T50+T62+T73</f>
        <v>0</v>
      </c>
    </row>
    <row r="75" spans="1:20" ht="9" customHeight="1" x14ac:dyDescent="0.2">
      <c r="A75" s="364" t="s">
        <v>214</v>
      </c>
      <c r="B75" s="365"/>
      <c r="C75" s="366"/>
      <c r="D75" s="370" t="s">
        <v>14</v>
      </c>
      <c r="E75" s="371"/>
      <c r="F75" s="371"/>
      <c r="G75" s="371"/>
      <c r="H75" s="365"/>
      <c r="I75" s="365"/>
      <c r="J75" s="365"/>
      <c r="K75" s="366"/>
      <c r="L75" s="220" t="s">
        <v>185</v>
      </c>
      <c r="M75" s="220"/>
      <c r="N75" s="226" t="s">
        <v>186</v>
      </c>
      <c r="O75" s="226"/>
      <c r="P75" s="240" t="s">
        <v>187</v>
      </c>
      <c r="Q75" s="240"/>
      <c r="R75" s="241" t="s">
        <v>188</v>
      </c>
      <c r="S75" s="242"/>
      <c r="T75" s="314" t="s">
        <v>215</v>
      </c>
    </row>
    <row r="76" spans="1:20" ht="17.25" customHeight="1" x14ac:dyDescent="0.2">
      <c r="A76" s="367"/>
      <c r="B76" s="368"/>
      <c r="C76" s="369"/>
      <c r="D76" s="372"/>
      <c r="E76" s="368"/>
      <c r="F76" s="368"/>
      <c r="G76" s="368"/>
      <c r="H76" s="368"/>
      <c r="I76" s="368"/>
      <c r="J76" s="368"/>
      <c r="K76" s="369"/>
      <c r="L76" s="47" t="s">
        <v>216</v>
      </c>
      <c r="M76" s="47" t="s">
        <v>217</v>
      </c>
      <c r="N76" s="47" t="s">
        <v>216</v>
      </c>
      <c r="O76" s="47" t="s">
        <v>217</v>
      </c>
      <c r="P76" s="18" t="s">
        <v>216</v>
      </c>
      <c r="Q76" s="18" t="s">
        <v>217</v>
      </c>
      <c r="R76" s="18" t="s">
        <v>216</v>
      </c>
      <c r="S76" s="18" t="s">
        <v>217</v>
      </c>
      <c r="T76" s="315"/>
    </row>
    <row r="77" spans="1:20" ht="11.25" customHeight="1" x14ac:dyDescent="0.2">
      <c r="A77" s="223" t="s">
        <v>71</v>
      </c>
      <c r="B77" s="360" t="s">
        <v>218</v>
      </c>
      <c r="C77" s="361"/>
      <c r="D77" s="209" t="s">
        <v>219</v>
      </c>
      <c r="E77" s="209"/>
      <c r="F77" s="209"/>
      <c r="G77" s="209"/>
      <c r="H77" s="209"/>
      <c r="I77" s="209"/>
      <c r="J77" s="209"/>
      <c r="K77" s="209"/>
      <c r="L77" s="98">
        <v>60</v>
      </c>
      <c r="M77" s="98"/>
      <c r="N77" s="99"/>
      <c r="O77" s="99"/>
      <c r="P77" s="51"/>
      <c r="Q77" s="51"/>
      <c r="R77" s="51"/>
      <c r="S77" s="51"/>
      <c r="T77" s="117">
        <f>L77+M77+N77+O77+P77+Q77+R77+S77</f>
        <v>60</v>
      </c>
    </row>
    <row r="78" spans="1:20" ht="11.25" customHeight="1" x14ac:dyDescent="0.2">
      <c r="A78" s="223"/>
      <c r="B78" s="362"/>
      <c r="C78" s="363"/>
      <c r="D78" s="209" t="s">
        <v>220</v>
      </c>
      <c r="E78" s="209"/>
      <c r="F78" s="209"/>
      <c r="G78" s="209"/>
      <c r="H78" s="209"/>
      <c r="I78" s="209"/>
      <c r="J78" s="209"/>
      <c r="K78" s="209"/>
      <c r="L78" s="98"/>
      <c r="M78" s="98"/>
      <c r="N78" s="99"/>
      <c r="O78" s="99"/>
      <c r="P78" s="51"/>
      <c r="Q78" s="51"/>
      <c r="R78" s="51"/>
      <c r="S78" s="51"/>
      <c r="T78" s="117">
        <f t="shared" ref="T78:T81" si="7">L78+M78+N78+O78+P78+Q78+R78+S78</f>
        <v>0</v>
      </c>
    </row>
    <row r="79" spans="1:20" ht="11.25" customHeight="1" x14ac:dyDescent="0.2">
      <c r="A79" s="223"/>
      <c r="B79" s="362"/>
      <c r="C79" s="363"/>
      <c r="D79" s="209" t="s">
        <v>221</v>
      </c>
      <c r="E79" s="209"/>
      <c r="F79" s="209"/>
      <c r="G79" s="209"/>
      <c r="H79" s="209"/>
      <c r="I79" s="209"/>
      <c r="J79" s="209"/>
      <c r="K79" s="209"/>
      <c r="L79" s="98"/>
      <c r="M79" s="98"/>
      <c r="N79" s="99"/>
      <c r="O79" s="99"/>
      <c r="P79" s="51"/>
      <c r="Q79" s="51"/>
      <c r="R79" s="51"/>
      <c r="S79" s="51"/>
      <c r="T79" s="117">
        <f t="shared" si="7"/>
        <v>0</v>
      </c>
    </row>
    <row r="80" spans="1:20" ht="11.25" customHeight="1" x14ac:dyDescent="0.2">
      <c r="A80" s="223"/>
      <c r="B80" s="362"/>
      <c r="C80" s="363"/>
      <c r="D80" s="209" t="s">
        <v>222</v>
      </c>
      <c r="E80" s="209"/>
      <c r="F80" s="209"/>
      <c r="G80" s="209"/>
      <c r="H80" s="209"/>
      <c r="I80" s="209"/>
      <c r="J80" s="209"/>
      <c r="K80" s="209"/>
      <c r="L80" s="98"/>
      <c r="M80" s="98"/>
      <c r="N80" s="99"/>
      <c r="O80" s="99"/>
      <c r="P80" s="51"/>
      <c r="Q80" s="51"/>
      <c r="R80" s="51"/>
      <c r="S80" s="51"/>
      <c r="T80" s="117">
        <f t="shared" si="7"/>
        <v>0</v>
      </c>
    </row>
    <row r="81" spans="1:20" ht="11.25" customHeight="1" x14ac:dyDescent="0.2">
      <c r="A81" s="223"/>
      <c r="B81" s="362"/>
      <c r="C81" s="363"/>
      <c r="D81" s="219" t="s">
        <v>223</v>
      </c>
      <c r="E81" s="219"/>
      <c r="F81" s="219"/>
      <c r="G81" s="219"/>
      <c r="H81" s="219"/>
      <c r="I81" s="219"/>
      <c r="J81" s="219"/>
      <c r="K81" s="219"/>
      <c r="L81" s="98"/>
      <c r="M81" s="98"/>
      <c r="N81" s="16"/>
      <c r="O81" s="16"/>
      <c r="P81" s="16"/>
      <c r="Q81" s="116"/>
      <c r="R81" s="51"/>
      <c r="S81" s="51"/>
      <c r="T81" s="117">
        <f t="shared" si="7"/>
        <v>0</v>
      </c>
    </row>
    <row r="82" spans="1:20" ht="23.25" customHeight="1" x14ac:dyDescent="0.2">
      <c r="A82" s="76"/>
      <c r="B82" s="77"/>
      <c r="C82" s="78"/>
      <c r="D82" s="40"/>
      <c r="E82" s="41"/>
      <c r="F82" s="41"/>
      <c r="G82" s="41"/>
      <c r="H82" s="41"/>
      <c r="I82" s="41"/>
      <c r="J82" s="41"/>
      <c r="K82" s="41"/>
      <c r="L82" s="41"/>
      <c r="M82" s="100"/>
      <c r="N82" s="97"/>
      <c r="O82" s="97"/>
      <c r="P82" s="97"/>
      <c r="Q82" s="120"/>
      <c r="R82" s="124"/>
      <c r="S82" s="125"/>
      <c r="T82" s="70">
        <f>T77+T78+T79+T80+T81</f>
        <v>60</v>
      </c>
    </row>
    <row r="83" spans="1:20" ht="15" customHeight="1" x14ac:dyDescent="0.2">
      <c r="A83" s="243" t="s">
        <v>79</v>
      </c>
      <c r="B83" s="324" t="s">
        <v>224</v>
      </c>
      <c r="C83" s="325"/>
      <c r="D83" s="298" t="s">
        <v>225</v>
      </c>
      <c r="E83" s="298"/>
      <c r="F83" s="298"/>
      <c r="G83" s="298"/>
      <c r="H83" s="298"/>
      <c r="I83" s="298"/>
      <c r="J83" s="298"/>
      <c r="K83" s="298"/>
      <c r="L83" s="101"/>
      <c r="M83" s="101"/>
      <c r="N83" s="102"/>
      <c r="O83" s="102"/>
      <c r="P83" s="102"/>
      <c r="Q83" s="126"/>
      <c r="R83" s="126"/>
      <c r="S83" s="126"/>
      <c r="T83" s="69">
        <f>L83+M83+N83+O83+P83+Q83+R83+S83</f>
        <v>0</v>
      </c>
    </row>
    <row r="84" spans="1:20" ht="15" customHeight="1" x14ac:dyDescent="0.2">
      <c r="A84" s="223"/>
      <c r="B84" s="331"/>
      <c r="C84" s="331"/>
      <c r="D84" s="209" t="s">
        <v>226</v>
      </c>
      <c r="E84" s="209"/>
      <c r="F84" s="209"/>
      <c r="G84" s="209"/>
      <c r="H84" s="209"/>
      <c r="I84" s="209"/>
      <c r="J84" s="209"/>
      <c r="K84" s="209"/>
      <c r="L84" s="98"/>
      <c r="M84" s="98"/>
      <c r="N84" s="16"/>
      <c r="O84" s="16"/>
      <c r="P84" s="16"/>
      <c r="Q84" s="116"/>
      <c r="R84" s="116"/>
      <c r="S84" s="116"/>
      <c r="T84" s="69">
        <f t="shared" ref="T84:T87" si="8">L84+M84+N84+O84+P84+Q84+R84+S84</f>
        <v>0</v>
      </c>
    </row>
    <row r="85" spans="1:20" ht="15" customHeight="1" x14ac:dyDescent="0.2">
      <c r="A85" s="223"/>
      <c r="B85" s="331"/>
      <c r="C85" s="331"/>
      <c r="D85" s="209" t="s">
        <v>227</v>
      </c>
      <c r="E85" s="209"/>
      <c r="F85" s="209"/>
      <c r="G85" s="209"/>
      <c r="H85" s="209"/>
      <c r="I85" s="209"/>
      <c r="J85" s="209"/>
      <c r="K85" s="209"/>
      <c r="L85" s="98"/>
      <c r="M85" s="98"/>
      <c r="N85" s="16"/>
      <c r="O85" s="16"/>
      <c r="P85" s="16"/>
      <c r="Q85" s="116"/>
      <c r="R85" s="116"/>
      <c r="S85" s="116"/>
      <c r="T85" s="69">
        <f t="shared" si="8"/>
        <v>0</v>
      </c>
    </row>
    <row r="86" spans="1:20" ht="15" customHeight="1" x14ac:dyDescent="0.2">
      <c r="A86" s="223"/>
      <c r="B86" s="331"/>
      <c r="C86" s="331"/>
      <c r="D86" s="209" t="s">
        <v>228</v>
      </c>
      <c r="E86" s="209"/>
      <c r="F86" s="209"/>
      <c r="G86" s="209"/>
      <c r="H86" s="209"/>
      <c r="I86" s="209"/>
      <c r="J86" s="209"/>
      <c r="K86" s="209"/>
      <c r="L86" s="98"/>
      <c r="M86" s="98"/>
      <c r="N86" s="16"/>
      <c r="O86" s="16"/>
      <c r="P86" s="16"/>
      <c r="Q86" s="116"/>
      <c r="R86" s="116"/>
      <c r="S86" s="116"/>
      <c r="T86" s="69">
        <f t="shared" si="8"/>
        <v>0</v>
      </c>
    </row>
    <row r="87" spans="1:20" ht="15" customHeight="1" x14ac:dyDescent="0.2">
      <c r="A87" s="244"/>
      <c r="B87" s="326"/>
      <c r="C87" s="326"/>
      <c r="D87" s="256" t="s">
        <v>229</v>
      </c>
      <c r="E87" s="256"/>
      <c r="F87" s="256"/>
      <c r="G87" s="256"/>
      <c r="H87" s="256"/>
      <c r="I87" s="256"/>
      <c r="J87" s="256"/>
      <c r="K87" s="256"/>
      <c r="L87" s="103"/>
      <c r="M87" s="103"/>
      <c r="N87" s="96"/>
      <c r="O87" s="96"/>
      <c r="P87" s="96"/>
      <c r="Q87" s="118"/>
      <c r="R87" s="118"/>
      <c r="S87" s="118"/>
      <c r="T87" s="69">
        <f t="shared" si="8"/>
        <v>0</v>
      </c>
    </row>
    <row r="88" spans="1:20" ht="19.5" customHeight="1" x14ac:dyDescent="0.2">
      <c r="A88" s="76"/>
      <c r="B88" s="77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97"/>
      <c r="O88" s="97"/>
      <c r="P88" s="97"/>
      <c r="Q88" s="120"/>
      <c r="R88" s="124"/>
      <c r="S88" s="125"/>
      <c r="T88" s="127">
        <f>T83+T84+T85+T86+T87</f>
        <v>0</v>
      </c>
    </row>
    <row r="89" spans="1:20" ht="12" customHeight="1" x14ac:dyDescent="0.2">
      <c r="A89" s="243" t="s">
        <v>81</v>
      </c>
      <c r="B89" s="324" t="s">
        <v>100</v>
      </c>
      <c r="C89" s="324"/>
      <c r="D89" s="298" t="s">
        <v>230</v>
      </c>
      <c r="E89" s="298"/>
      <c r="F89" s="298"/>
      <c r="G89" s="298"/>
      <c r="H89" s="298"/>
      <c r="I89" s="298"/>
      <c r="J89" s="298"/>
      <c r="K89" s="298"/>
      <c r="L89" s="101"/>
      <c r="M89" s="101"/>
      <c r="N89" s="102"/>
      <c r="O89" s="102"/>
      <c r="P89" s="102"/>
      <c r="Q89" s="126"/>
      <c r="R89" s="126"/>
      <c r="S89" s="126"/>
      <c r="T89" s="128">
        <f>L89+M89+N89+O89+P89+Q89+R89+S89</f>
        <v>0</v>
      </c>
    </row>
    <row r="90" spans="1:20" ht="12" customHeight="1" x14ac:dyDescent="0.2">
      <c r="A90" s="223"/>
      <c r="B90" s="224"/>
      <c r="C90" s="224"/>
      <c r="D90" s="209" t="s">
        <v>231</v>
      </c>
      <c r="E90" s="209"/>
      <c r="F90" s="209"/>
      <c r="G90" s="209"/>
      <c r="H90" s="209"/>
      <c r="I90" s="209"/>
      <c r="J90" s="209"/>
      <c r="K90" s="209"/>
      <c r="L90" s="98"/>
      <c r="M90" s="98"/>
      <c r="N90" s="16"/>
      <c r="O90" s="16"/>
      <c r="P90" s="16"/>
      <c r="Q90" s="116"/>
      <c r="R90" s="116"/>
      <c r="S90" s="116"/>
      <c r="T90" s="128">
        <f t="shared" ref="T90:T92" si="9">L90+M90+N90+O90+P90+Q90+R90+S90</f>
        <v>0</v>
      </c>
    </row>
    <row r="91" spans="1:20" ht="12" customHeight="1" x14ac:dyDescent="0.2">
      <c r="A91" s="223"/>
      <c r="B91" s="224"/>
      <c r="C91" s="224"/>
      <c r="D91" s="209" t="s">
        <v>232</v>
      </c>
      <c r="E91" s="209"/>
      <c r="F91" s="209"/>
      <c r="G91" s="209"/>
      <c r="H91" s="209"/>
      <c r="I91" s="209"/>
      <c r="J91" s="209"/>
      <c r="K91" s="209"/>
      <c r="L91" s="98"/>
      <c r="M91" s="98"/>
      <c r="N91" s="16"/>
      <c r="O91" s="16"/>
      <c r="P91" s="16"/>
      <c r="Q91" s="116"/>
      <c r="R91" s="116"/>
      <c r="S91" s="116"/>
      <c r="T91" s="128">
        <f t="shared" si="9"/>
        <v>0</v>
      </c>
    </row>
    <row r="92" spans="1:20" ht="12" customHeight="1" x14ac:dyDescent="0.2">
      <c r="A92" s="244"/>
      <c r="B92" s="359"/>
      <c r="C92" s="359"/>
      <c r="D92" s="286" t="s">
        <v>233</v>
      </c>
      <c r="E92" s="286"/>
      <c r="F92" s="286"/>
      <c r="G92" s="286"/>
      <c r="H92" s="286"/>
      <c r="I92" s="286"/>
      <c r="J92" s="286"/>
      <c r="K92" s="286"/>
      <c r="L92" s="104"/>
      <c r="M92" s="104"/>
      <c r="N92" s="96"/>
      <c r="O92" s="96"/>
      <c r="P92" s="96"/>
      <c r="Q92" s="118"/>
      <c r="R92" s="118"/>
      <c r="S92" s="118"/>
      <c r="T92" s="128">
        <f t="shared" si="9"/>
        <v>0</v>
      </c>
    </row>
    <row r="93" spans="1:20" ht="12" customHeight="1" x14ac:dyDescent="0.2">
      <c r="A93" s="37"/>
      <c r="B93" s="80"/>
      <c r="C93" s="39"/>
      <c r="D93" s="81"/>
      <c r="E93" s="81"/>
      <c r="F93" s="81"/>
      <c r="G93" s="81"/>
      <c r="H93" s="81"/>
      <c r="I93" s="105"/>
      <c r="J93" s="105"/>
      <c r="K93" s="105"/>
      <c r="L93" s="81"/>
      <c r="M93" s="81"/>
      <c r="N93" s="97"/>
      <c r="O93" s="97"/>
      <c r="P93" s="97"/>
      <c r="Q93" s="75"/>
      <c r="R93" s="121"/>
      <c r="S93" s="124"/>
      <c r="T93" s="129">
        <f>T89+T90+T91+T92</f>
        <v>0</v>
      </c>
    </row>
    <row r="94" spans="1:20" ht="12.75" customHeight="1" x14ac:dyDescent="0.2">
      <c r="A94" s="296" t="s">
        <v>87</v>
      </c>
      <c r="B94" s="358" t="s">
        <v>101</v>
      </c>
      <c r="C94" s="358"/>
      <c r="D94" s="298" t="s">
        <v>234</v>
      </c>
      <c r="E94" s="298"/>
      <c r="F94" s="298"/>
      <c r="G94" s="298"/>
      <c r="H94" s="298"/>
      <c r="I94" s="298"/>
      <c r="J94" s="298"/>
      <c r="K94" s="298"/>
      <c r="L94" s="101"/>
      <c r="M94" s="101"/>
      <c r="N94" s="102"/>
      <c r="O94" s="102"/>
      <c r="P94" s="102"/>
      <c r="Q94" s="126"/>
      <c r="R94" s="126"/>
      <c r="S94" s="126"/>
      <c r="T94" s="128">
        <f>L94+M94+N94+O94+P94+Q94+R94+S94</f>
        <v>0</v>
      </c>
    </row>
    <row r="95" spans="1:20" ht="12.75" customHeight="1" x14ac:dyDescent="0.2">
      <c r="A95" s="297"/>
      <c r="B95" s="343"/>
      <c r="C95" s="343"/>
      <c r="D95" s="286"/>
      <c r="E95" s="286"/>
      <c r="F95" s="286"/>
      <c r="G95" s="286"/>
      <c r="H95" s="286"/>
      <c r="I95" s="286"/>
      <c r="J95" s="286"/>
      <c r="K95" s="286"/>
      <c r="L95" s="106"/>
      <c r="M95" s="106"/>
      <c r="N95" s="96"/>
      <c r="O95" s="96"/>
      <c r="P95" s="96"/>
      <c r="Q95" s="118"/>
      <c r="R95" s="118"/>
      <c r="S95" s="118"/>
      <c r="T95" s="130"/>
    </row>
    <row r="96" spans="1:20" ht="0.75" customHeight="1" x14ac:dyDescent="0.2">
      <c r="A96" s="82"/>
      <c r="B96" s="83"/>
      <c r="C96" s="8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97"/>
      <c r="O96" s="97"/>
      <c r="P96" s="97"/>
      <c r="Q96" s="75"/>
      <c r="R96" s="131"/>
      <c r="S96" s="131"/>
      <c r="T96" s="132">
        <f>T94+T95</f>
        <v>0</v>
      </c>
    </row>
    <row r="97" spans="1:20" ht="15.75" customHeight="1" x14ac:dyDescent="0.2">
      <c r="A97" s="85" t="s">
        <v>89</v>
      </c>
      <c r="B97" s="299" t="s">
        <v>102</v>
      </c>
      <c r="C97" s="300"/>
      <c r="D97" s="301" t="s">
        <v>235</v>
      </c>
      <c r="E97" s="301"/>
      <c r="F97" s="301"/>
      <c r="G97" s="301"/>
      <c r="H97" s="301"/>
      <c r="I97" s="301"/>
      <c r="J97" s="301"/>
      <c r="K97" s="301"/>
      <c r="L97" s="107"/>
      <c r="M97" s="107"/>
      <c r="N97" s="108"/>
      <c r="O97" s="108"/>
      <c r="P97" s="108"/>
      <c r="Q97" s="133"/>
      <c r="R97" s="133"/>
      <c r="S97" s="133"/>
      <c r="T97" s="134">
        <f>L97+M97+N97+O97+P97+Q97+R97+S97</f>
        <v>0</v>
      </c>
    </row>
    <row r="98" spans="1:20" ht="12.75" customHeight="1" x14ac:dyDescent="0.2">
      <c r="A98" s="302" t="s">
        <v>236</v>
      </c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89"/>
      <c r="T98" s="134">
        <f>T82+T88+T93+T94+T97</f>
        <v>60</v>
      </c>
    </row>
    <row r="99" spans="1:20" ht="24" customHeight="1" x14ac:dyDescent="0.2">
      <c r="A99" s="304" t="s">
        <v>237</v>
      </c>
      <c r="B99" s="305"/>
      <c r="C99" s="305"/>
      <c r="D99" s="305"/>
      <c r="E99" s="305"/>
      <c r="F99" s="306"/>
      <c r="G99" s="307" t="s">
        <v>184</v>
      </c>
      <c r="H99" s="216"/>
      <c r="I99" s="216"/>
      <c r="J99" s="216"/>
      <c r="K99" s="216"/>
      <c r="L99" s="216"/>
      <c r="M99" s="216"/>
      <c r="N99" s="216"/>
      <c r="O99" s="216"/>
      <c r="P99" s="50" t="s">
        <v>185</v>
      </c>
      <c r="Q99" s="50" t="s">
        <v>186</v>
      </c>
      <c r="R99" s="50" t="s">
        <v>187</v>
      </c>
      <c r="S99" s="50" t="s">
        <v>188</v>
      </c>
      <c r="T99" s="69" t="s">
        <v>165</v>
      </c>
    </row>
    <row r="100" spans="1:20" ht="12" customHeight="1" x14ac:dyDescent="0.2">
      <c r="A100" s="19" t="s">
        <v>238</v>
      </c>
      <c r="B100" s="308" t="s">
        <v>239</v>
      </c>
      <c r="C100" s="257"/>
      <c r="D100" s="257"/>
      <c r="E100" s="257"/>
      <c r="F100" s="257"/>
      <c r="G100" s="257" t="s">
        <v>240</v>
      </c>
      <c r="H100" s="257"/>
      <c r="I100" s="257"/>
      <c r="J100" s="257"/>
      <c r="K100" s="257"/>
      <c r="L100" s="257"/>
      <c r="M100" s="257"/>
      <c r="N100" s="257"/>
      <c r="O100" s="257"/>
      <c r="P100" s="16">
        <v>20</v>
      </c>
      <c r="Q100" s="116">
        <v>20</v>
      </c>
      <c r="R100" s="116">
        <v>20</v>
      </c>
      <c r="S100" s="116"/>
      <c r="T100" s="135">
        <f>P100+Q100+R100+S100</f>
        <v>60</v>
      </c>
    </row>
    <row r="101" spans="1:20" ht="9.75" customHeight="1" x14ac:dyDescent="0.2">
      <c r="A101" s="223" t="s">
        <v>241</v>
      </c>
      <c r="B101" s="262" t="s">
        <v>242</v>
      </c>
      <c r="C101" s="263"/>
      <c r="D101" s="263"/>
      <c r="E101" s="263"/>
      <c r="F101" s="263"/>
      <c r="G101" s="257" t="s">
        <v>243</v>
      </c>
      <c r="H101" s="257"/>
      <c r="I101" s="257"/>
      <c r="J101" s="257"/>
      <c r="K101" s="257"/>
      <c r="L101" s="257"/>
      <c r="M101" s="257"/>
      <c r="N101" s="257"/>
      <c r="O101" s="257"/>
      <c r="P101" s="16"/>
      <c r="Q101" s="116"/>
      <c r="R101" s="116"/>
      <c r="S101" s="116"/>
      <c r="T101" s="135">
        <f t="shared" ref="T101:T103" si="10">P101+Q101+R101+S101</f>
        <v>0</v>
      </c>
    </row>
    <row r="102" spans="1:20" ht="9.75" customHeight="1" x14ac:dyDescent="0.2">
      <c r="A102" s="223"/>
      <c r="B102" s="263"/>
      <c r="C102" s="263"/>
      <c r="D102" s="263"/>
      <c r="E102" s="263"/>
      <c r="F102" s="263"/>
      <c r="G102" s="257" t="s">
        <v>244</v>
      </c>
      <c r="H102" s="257"/>
      <c r="I102" s="257"/>
      <c r="J102" s="257"/>
      <c r="K102" s="257"/>
      <c r="L102" s="257"/>
      <c r="M102" s="257"/>
      <c r="N102" s="257"/>
      <c r="O102" s="257"/>
      <c r="P102" s="16"/>
      <c r="Q102" s="116"/>
      <c r="R102" s="116"/>
      <c r="S102" s="116"/>
      <c r="T102" s="135">
        <f t="shared" si="10"/>
        <v>0</v>
      </c>
    </row>
    <row r="103" spans="1:20" ht="9.75" customHeight="1" x14ac:dyDescent="0.2">
      <c r="A103" s="223"/>
      <c r="B103" s="263"/>
      <c r="C103" s="263"/>
      <c r="D103" s="263"/>
      <c r="E103" s="263"/>
      <c r="F103" s="263"/>
      <c r="G103" s="257" t="s">
        <v>245</v>
      </c>
      <c r="H103" s="257"/>
      <c r="I103" s="257"/>
      <c r="J103" s="257"/>
      <c r="K103" s="257"/>
      <c r="L103" s="257"/>
      <c r="M103" s="257"/>
      <c r="N103" s="257"/>
      <c r="O103" s="257"/>
      <c r="P103" s="16"/>
      <c r="Q103" s="116"/>
      <c r="R103" s="116"/>
      <c r="S103" s="116"/>
      <c r="T103" s="135">
        <f t="shared" si="10"/>
        <v>0</v>
      </c>
    </row>
    <row r="104" spans="1:20" ht="9" customHeight="1" x14ac:dyDescent="0.2">
      <c r="A104" s="19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23"/>
      <c r="M104" s="23"/>
      <c r="N104" s="23"/>
      <c r="O104" s="23"/>
      <c r="P104" s="16"/>
      <c r="Q104" s="116"/>
      <c r="R104" s="136"/>
      <c r="S104" s="136"/>
      <c r="T104" s="137">
        <f>T100+T101+T102+T103</f>
        <v>60</v>
      </c>
    </row>
    <row r="105" spans="1:20" ht="9.75" customHeight="1" x14ac:dyDescent="0.2">
      <c r="A105" s="223" t="s">
        <v>246</v>
      </c>
      <c r="B105" s="262" t="s">
        <v>247</v>
      </c>
      <c r="C105" s="263"/>
      <c r="D105" s="263"/>
      <c r="E105" s="263"/>
      <c r="F105" s="263"/>
      <c r="G105" s="238" t="s">
        <v>248</v>
      </c>
      <c r="H105" s="238"/>
      <c r="I105" s="238"/>
      <c r="J105" s="238"/>
      <c r="K105" s="238"/>
      <c r="L105" s="238"/>
      <c r="M105" s="238"/>
      <c r="N105" s="238"/>
      <c r="O105" s="238"/>
      <c r="P105" s="16"/>
      <c r="Q105" s="116"/>
      <c r="R105" s="116"/>
      <c r="S105" s="116"/>
      <c r="T105" s="135">
        <f>P105+Q105+R105+S105</f>
        <v>0</v>
      </c>
    </row>
    <row r="106" spans="1:20" ht="9.75" customHeight="1" x14ac:dyDescent="0.2">
      <c r="A106" s="223"/>
      <c r="B106" s="263"/>
      <c r="C106" s="263"/>
      <c r="D106" s="263"/>
      <c r="E106" s="263"/>
      <c r="F106" s="263"/>
      <c r="G106" s="238" t="s">
        <v>249</v>
      </c>
      <c r="H106" s="238"/>
      <c r="I106" s="238"/>
      <c r="J106" s="238"/>
      <c r="K106" s="238"/>
      <c r="L106" s="238"/>
      <c r="M106" s="238"/>
      <c r="N106" s="238"/>
      <c r="O106" s="238"/>
      <c r="P106" s="16"/>
      <c r="Q106" s="116"/>
      <c r="R106" s="116"/>
      <c r="S106" s="116"/>
      <c r="T106" s="135">
        <f t="shared" ref="T106:T112" si="11">P106+Q106+R106+S106</f>
        <v>0</v>
      </c>
    </row>
    <row r="107" spans="1:20" ht="9.75" customHeight="1" x14ac:dyDescent="0.2">
      <c r="A107" s="223"/>
      <c r="B107" s="263"/>
      <c r="C107" s="263"/>
      <c r="D107" s="263"/>
      <c r="E107" s="263"/>
      <c r="F107" s="263"/>
      <c r="G107" s="238" t="s">
        <v>250</v>
      </c>
      <c r="H107" s="238"/>
      <c r="I107" s="238"/>
      <c r="J107" s="238"/>
      <c r="K107" s="238"/>
      <c r="L107" s="238"/>
      <c r="M107" s="238"/>
      <c r="N107" s="238"/>
      <c r="O107" s="238"/>
      <c r="P107" s="16"/>
      <c r="Q107" s="116"/>
      <c r="R107" s="116"/>
      <c r="S107" s="116"/>
      <c r="T107" s="135">
        <f t="shared" si="11"/>
        <v>0</v>
      </c>
    </row>
    <row r="108" spans="1:20" ht="9.75" customHeight="1" x14ac:dyDescent="0.2">
      <c r="A108" s="223"/>
      <c r="B108" s="263"/>
      <c r="C108" s="263"/>
      <c r="D108" s="263"/>
      <c r="E108" s="263"/>
      <c r="F108" s="263"/>
      <c r="G108" s="238" t="s">
        <v>251</v>
      </c>
      <c r="H108" s="238"/>
      <c r="I108" s="238"/>
      <c r="J108" s="238"/>
      <c r="K108" s="238"/>
      <c r="L108" s="238"/>
      <c r="M108" s="238"/>
      <c r="N108" s="238"/>
      <c r="O108" s="238"/>
      <c r="P108" s="16"/>
      <c r="Q108" s="116"/>
      <c r="R108" s="116"/>
      <c r="S108" s="116"/>
      <c r="T108" s="135">
        <f t="shared" si="11"/>
        <v>0</v>
      </c>
    </row>
    <row r="109" spans="1:20" ht="9.75" customHeight="1" x14ac:dyDescent="0.2">
      <c r="A109" s="223"/>
      <c r="B109" s="263"/>
      <c r="C109" s="263"/>
      <c r="D109" s="263"/>
      <c r="E109" s="263"/>
      <c r="F109" s="263"/>
      <c r="G109" s="238" t="s">
        <v>252</v>
      </c>
      <c r="H109" s="238"/>
      <c r="I109" s="238"/>
      <c r="J109" s="238"/>
      <c r="K109" s="238"/>
      <c r="L109" s="238"/>
      <c r="M109" s="238"/>
      <c r="N109" s="238"/>
      <c r="O109" s="238"/>
      <c r="P109" s="16"/>
      <c r="Q109" s="116"/>
      <c r="R109" s="116"/>
      <c r="S109" s="116"/>
      <c r="T109" s="135">
        <f t="shared" si="11"/>
        <v>0</v>
      </c>
    </row>
    <row r="110" spans="1:20" ht="9.75" customHeight="1" x14ac:dyDescent="0.2">
      <c r="A110" s="223"/>
      <c r="B110" s="263"/>
      <c r="C110" s="263"/>
      <c r="D110" s="263"/>
      <c r="E110" s="263"/>
      <c r="F110" s="263"/>
      <c r="G110" s="257" t="s">
        <v>253</v>
      </c>
      <c r="H110" s="257"/>
      <c r="I110" s="257"/>
      <c r="J110" s="257"/>
      <c r="K110" s="257"/>
      <c r="L110" s="257"/>
      <c r="M110" s="257"/>
      <c r="N110" s="257"/>
      <c r="O110" s="257"/>
      <c r="P110" s="16"/>
      <c r="Q110" s="116"/>
      <c r="R110" s="116"/>
      <c r="S110" s="116"/>
      <c r="T110" s="135">
        <f t="shared" si="11"/>
        <v>0</v>
      </c>
    </row>
    <row r="111" spans="1:20" ht="9.75" customHeight="1" x14ac:dyDescent="0.2">
      <c r="A111" s="223"/>
      <c r="B111" s="263"/>
      <c r="C111" s="263"/>
      <c r="D111" s="263"/>
      <c r="E111" s="263"/>
      <c r="F111" s="263"/>
      <c r="G111" s="257" t="s">
        <v>254</v>
      </c>
      <c r="H111" s="257"/>
      <c r="I111" s="257"/>
      <c r="J111" s="257"/>
      <c r="K111" s="257"/>
      <c r="L111" s="257"/>
      <c r="M111" s="257"/>
      <c r="N111" s="257"/>
      <c r="O111" s="257"/>
      <c r="P111" s="16"/>
      <c r="Q111" s="116"/>
      <c r="R111" s="116"/>
      <c r="S111" s="116"/>
      <c r="T111" s="135">
        <f t="shared" si="11"/>
        <v>0</v>
      </c>
    </row>
    <row r="112" spans="1:20" ht="9.75" customHeight="1" x14ac:dyDescent="0.2">
      <c r="A112" s="223"/>
      <c r="B112" s="263"/>
      <c r="C112" s="263"/>
      <c r="D112" s="263"/>
      <c r="E112" s="263"/>
      <c r="F112" s="263"/>
      <c r="G112" s="257" t="s">
        <v>255</v>
      </c>
      <c r="H112" s="257"/>
      <c r="I112" s="257"/>
      <c r="J112" s="257"/>
      <c r="K112" s="257"/>
      <c r="L112" s="257"/>
      <c r="M112" s="257"/>
      <c r="N112" s="257"/>
      <c r="O112" s="257"/>
      <c r="P112" s="16"/>
      <c r="Q112" s="116"/>
      <c r="R112" s="116"/>
      <c r="S112" s="116"/>
      <c r="T112" s="135">
        <f t="shared" si="11"/>
        <v>0</v>
      </c>
    </row>
    <row r="113" spans="1:20" ht="12" customHeight="1" x14ac:dyDescent="0.2">
      <c r="A113" s="19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23"/>
      <c r="M113" s="23"/>
      <c r="N113" s="23"/>
      <c r="O113" s="23"/>
      <c r="P113" s="16"/>
      <c r="Q113" s="116"/>
      <c r="R113" s="136"/>
      <c r="S113" s="136"/>
      <c r="T113" s="138">
        <f>T105+T106+T107+T108+T109+T110+T111+T112</f>
        <v>0</v>
      </c>
    </row>
    <row r="114" spans="1:20" ht="15" customHeight="1" x14ac:dyDescent="0.2">
      <c r="A114" s="223" t="s">
        <v>256</v>
      </c>
      <c r="B114" s="332" t="s">
        <v>257</v>
      </c>
      <c r="C114" s="332"/>
      <c r="D114" s="332"/>
      <c r="E114" s="332"/>
      <c r="F114" s="332"/>
      <c r="G114" s="238" t="s">
        <v>258</v>
      </c>
      <c r="H114" s="238"/>
      <c r="I114" s="238"/>
      <c r="J114" s="238"/>
      <c r="K114" s="238"/>
      <c r="L114" s="238"/>
      <c r="M114" s="238"/>
      <c r="N114" s="238"/>
      <c r="O114" s="238"/>
      <c r="P114" s="16">
        <v>120</v>
      </c>
      <c r="Q114" s="116"/>
      <c r="R114" s="116"/>
      <c r="S114" s="116"/>
      <c r="T114" s="135">
        <f>P114+Q114+R114+S114</f>
        <v>120</v>
      </c>
    </row>
    <row r="115" spans="1:20" ht="15" customHeight="1" x14ac:dyDescent="0.2">
      <c r="A115" s="244"/>
      <c r="B115" s="332"/>
      <c r="C115" s="332"/>
      <c r="D115" s="332"/>
      <c r="E115" s="332"/>
      <c r="F115" s="332"/>
      <c r="G115" s="238" t="s">
        <v>259</v>
      </c>
      <c r="H115" s="238"/>
      <c r="I115" s="238"/>
      <c r="J115" s="238"/>
      <c r="K115" s="238"/>
      <c r="L115" s="238"/>
      <c r="M115" s="238"/>
      <c r="N115" s="238"/>
      <c r="O115" s="238"/>
      <c r="P115" s="16"/>
      <c r="Q115" s="116"/>
      <c r="R115" s="116"/>
      <c r="S115" s="116"/>
      <c r="T115" s="139">
        <f>P115+Q115+R115+S116</f>
        <v>0</v>
      </c>
    </row>
    <row r="116" spans="1:20" ht="12" customHeight="1" x14ac:dyDescent="0.2">
      <c r="A116" s="87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109"/>
      <c r="M116" s="109"/>
      <c r="N116" s="109"/>
      <c r="O116" s="109"/>
      <c r="P116" s="110"/>
      <c r="Q116" s="140"/>
      <c r="R116" s="141"/>
      <c r="S116" s="142"/>
      <c r="T116" s="143">
        <f>T114+T115</f>
        <v>120</v>
      </c>
    </row>
    <row r="117" spans="1:20" ht="22.5" customHeight="1" x14ac:dyDescent="0.2">
      <c r="A117" s="258" t="s">
        <v>260</v>
      </c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60"/>
      <c r="T117" s="144">
        <f>T104+T113+T116</f>
        <v>180</v>
      </c>
    </row>
    <row r="118" spans="1:20" ht="15.75" customHeight="1" x14ac:dyDescent="0.2">
      <c r="A118" s="333" t="s">
        <v>261</v>
      </c>
      <c r="B118" s="261"/>
      <c r="C118" s="261"/>
      <c r="D118" s="261" t="s">
        <v>14</v>
      </c>
      <c r="E118" s="261"/>
      <c r="F118" s="261"/>
      <c r="G118" s="261"/>
      <c r="H118" s="261"/>
      <c r="I118" s="261"/>
      <c r="J118" s="261"/>
      <c r="K118" s="261"/>
      <c r="L118" s="261" t="s">
        <v>185</v>
      </c>
      <c r="M118" s="261"/>
      <c r="N118" s="226" t="s">
        <v>186</v>
      </c>
      <c r="O118" s="226"/>
      <c r="P118" s="240" t="s">
        <v>187</v>
      </c>
      <c r="Q118" s="240"/>
      <c r="R118" s="240" t="s">
        <v>188</v>
      </c>
      <c r="S118" s="240"/>
      <c r="T118" s="316" t="s">
        <v>165</v>
      </c>
    </row>
    <row r="119" spans="1:20" ht="18.75" customHeight="1" x14ac:dyDescent="0.2">
      <c r="A119" s="334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99" t="s">
        <v>216</v>
      </c>
      <c r="M119" s="99" t="s">
        <v>217</v>
      </c>
      <c r="N119" s="99" t="s">
        <v>216</v>
      </c>
      <c r="O119" s="99" t="s">
        <v>217</v>
      </c>
      <c r="P119" s="99" t="s">
        <v>216</v>
      </c>
      <c r="Q119" s="99" t="s">
        <v>217</v>
      </c>
      <c r="R119" s="99" t="s">
        <v>216</v>
      </c>
      <c r="S119" s="99" t="s">
        <v>217</v>
      </c>
      <c r="T119" s="315"/>
    </row>
    <row r="120" spans="1:20" ht="40.5" customHeight="1" x14ac:dyDescent="0.2">
      <c r="A120" s="19" t="s">
        <v>238</v>
      </c>
      <c r="B120" s="270" t="s">
        <v>262</v>
      </c>
      <c r="C120" s="271"/>
      <c r="D120" s="272" t="s">
        <v>263</v>
      </c>
      <c r="E120" s="262"/>
      <c r="F120" s="262"/>
      <c r="G120" s="262"/>
      <c r="H120" s="262"/>
      <c r="I120" s="262"/>
      <c r="J120" s="262"/>
      <c r="K120" s="262"/>
      <c r="L120" s="111"/>
      <c r="M120" s="111"/>
      <c r="N120" s="111"/>
      <c r="O120" s="111"/>
      <c r="P120" s="111"/>
      <c r="Q120" s="116"/>
      <c r="R120" s="116"/>
      <c r="S120" s="116"/>
      <c r="T120" s="135">
        <f>L120+M120+N120+O120+P120+Q120+R120+S120</f>
        <v>0</v>
      </c>
    </row>
    <row r="121" spans="1:20" ht="15.75" customHeight="1" x14ac:dyDescent="0.2">
      <c r="A121" s="273" t="s">
        <v>264</v>
      </c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89"/>
      <c r="T121" s="135">
        <f>L120+M120+N120+O120+P120+Q120+R120+S120</f>
        <v>0</v>
      </c>
    </row>
    <row r="122" spans="1:20" ht="17.25" customHeight="1" x14ac:dyDescent="0.2">
      <c r="A122" s="90" t="s">
        <v>265</v>
      </c>
      <c r="B122" s="91"/>
      <c r="C122" s="92"/>
      <c r="D122" s="93"/>
      <c r="E122" s="275" t="s">
        <v>184</v>
      </c>
      <c r="F122" s="276"/>
      <c r="G122" s="276"/>
      <c r="H122" s="276"/>
      <c r="I122" s="276"/>
      <c r="J122" s="276"/>
      <c r="K122" s="276"/>
      <c r="L122" s="276"/>
      <c r="M122" s="276"/>
      <c r="N122" s="276"/>
      <c r="O122" s="277"/>
      <c r="P122" s="49" t="s">
        <v>185</v>
      </c>
      <c r="Q122" s="49" t="s">
        <v>186</v>
      </c>
      <c r="R122" s="49" t="s">
        <v>187</v>
      </c>
      <c r="S122" s="49" t="s">
        <v>188</v>
      </c>
      <c r="T122" s="68" t="s">
        <v>165</v>
      </c>
    </row>
    <row r="123" spans="1:20" ht="12.75" customHeight="1" x14ac:dyDescent="0.2">
      <c r="A123" s="282" t="s">
        <v>71</v>
      </c>
      <c r="B123" s="329" t="s">
        <v>266</v>
      </c>
      <c r="C123" s="330"/>
      <c r="D123" s="330"/>
      <c r="E123" s="278" t="s">
        <v>219</v>
      </c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112"/>
      <c r="Q123" s="145"/>
      <c r="R123" s="145"/>
      <c r="S123" s="145"/>
      <c r="T123" s="146"/>
    </row>
    <row r="124" spans="1:20" ht="12.75" customHeight="1" x14ac:dyDescent="0.2">
      <c r="A124" s="223"/>
      <c r="B124" s="331"/>
      <c r="C124" s="331"/>
      <c r="D124" s="331"/>
      <c r="E124" s="209" t="s">
        <v>267</v>
      </c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98"/>
      <c r="Q124" s="51"/>
      <c r="R124" s="51"/>
      <c r="S124" s="51"/>
      <c r="T124" s="74"/>
    </row>
    <row r="125" spans="1:20" ht="12.75" customHeight="1" x14ac:dyDescent="0.2">
      <c r="A125" s="223"/>
      <c r="B125" s="331"/>
      <c r="C125" s="331"/>
      <c r="D125" s="331"/>
      <c r="E125" s="209" t="s">
        <v>268</v>
      </c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98"/>
      <c r="Q125" s="51"/>
      <c r="R125" s="51"/>
      <c r="S125" s="51"/>
      <c r="T125" s="74"/>
    </row>
    <row r="126" spans="1:20" ht="21" customHeight="1" x14ac:dyDescent="0.2">
      <c r="A126" s="223"/>
      <c r="B126" s="331"/>
      <c r="C126" s="331"/>
      <c r="D126" s="331"/>
      <c r="E126" s="209" t="s">
        <v>269</v>
      </c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98"/>
      <c r="Q126" s="51"/>
      <c r="R126" s="51"/>
      <c r="S126" s="51"/>
      <c r="T126" s="74"/>
    </row>
    <row r="127" spans="1:20" ht="17.25" customHeight="1" x14ac:dyDescent="0.2">
      <c r="A127" s="76"/>
      <c r="B127" s="94"/>
      <c r="C127" s="94"/>
      <c r="D127" s="94"/>
      <c r="E127" s="81"/>
      <c r="F127" s="81"/>
      <c r="G127" s="81"/>
      <c r="H127" s="81"/>
      <c r="I127" s="81"/>
      <c r="J127" s="81"/>
      <c r="K127" s="81"/>
      <c r="L127" s="113"/>
      <c r="M127" s="113"/>
      <c r="N127" s="113"/>
      <c r="O127" s="113"/>
      <c r="P127" s="97">
        <f>P123+P124+P125+P126</f>
        <v>0</v>
      </c>
      <c r="Q127" s="97">
        <f>Q123+Q124+Q125+Q126</f>
        <v>0</v>
      </c>
      <c r="R127" s="97">
        <f>R123+R124+R125+R126</f>
        <v>0</v>
      </c>
      <c r="S127" s="97">
        <f>S123+S124+S125+S126</f>
        <v>0</v>
      </c>
      <c r="T127" s="147">
        <f>P127+Q127+R127+S127</f>
        <v>0</v>
      </c>
    </row>
    <row r="128" spans="1:20" ht="27.75" customHeight="1" x14ac:dyDescent="0.2">
      <c r="A128" s="95"/>
      <c r="B128" s="279" t="s">
        <v>270</v>
      </c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1"/>
      <c r="Q128" s="281"/>
      <c r="R128" s="281"/>
      <c r="S128" s="148"/>
      <c r="T128" s="147">
        <f>P127:T127</f>
        <v>0</v>
      </c>
    </row>
    <row r="129" spans="1:20" ht="51.75" customHeight="1" x14ac:dyDescent="0.2">
      <c r="A129" s="283" t="s">
        <v>271</v>
      </c>
      <c r="B129" s="284"/>
      <c r="C129" s="284"/>
      <c r="D129" s="284"/>
      <c r="E129" s="264" t="s">
        <v>272</v>
      </c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151"/>
      <c r="Q129" s="151"/>
      <c r="R129" s="151"/>
      <c r="S129" s="151"/>
      <c r="T129" s="154">
        <f>P129+Q129+R129+S129</f>
        <v>0</v>
      </c>
    </row>
    <row r="130" spans="1:20" ht="22.5" customHeight="1" x14ac:dyDescent="0.2">
      <c r="A130" s="265" t="s">
        <v>273</v>
      </c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155">
        <f>T74+T98+T117+T121+T128</f>
        <v>240</v>
      </c>
    </row>
    <row r="131" spans="1:20" ht="23.25" customHeight="1" x14ac:dyDescent="0.2">
      <c r="A131" s="267" t="s">
        <v>274</v>
      </c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3"/>
      <c r="T131" s="156"/>
    </row>
    <row r="132" spans="1:20" ht="32.25" customHeight="1" x14ac:dyDescent="0.2">
      <c r="A132" s="327" t="s">
        <v>275</v>
      </c>
      <c r="B132" s="220"/>
      <c r="C132" s="220"/>
      <c r="D132" s="220" t="s">
        <v>184</v>
      </c>
      <c r="E132" s="220"/>
      <c r="F132" s="220"/>
      <c r="G132" s="220"/>
      <c r="H132" s="220"/>
      <c r="I132" s="220"/>
      <c r="J132" s="220"/>
      <c r="K132" s="220"/>
      <c r="L132" s="220" t="s">
        <v>185</v>
      </c>
      <c r="M132" s="220"/>
      <c r="N132" s="226" t="s">
        <v>186</v>
      </c>
      <c r="O132" s="226"/>
      <c r="P132" s="240" t="s">
        <v>187</v>
      </c>
      <c r="Q132" s="240"/>
      <c r="R132" s="240" t="s">
        <v>188</v>
      </c>
      <c r="S132" s="240"/>
      <c r="T132" s="316" t="s">
        <v>165</v>
      </c>
    </row>
    <row r="133" spans="1:20" ht="23.25" customHeight="1" x14ac:dyDescent="0.2">
      <c r="A133" s="328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152" t="s">
        <v>216</v>
      </c>
      <c r="M133" s="152" t="s">
        <v>217</v>
      </c>
      <c r="N133" s="152" t="s">
        <v>216</v>
      </c>
      <c r="O133" s="152" t="s">
        <v>217</v>
      </c>
      <c r="P133" s="152" t="s">
        <v>216</v>
      </c>
      <c r="Q133" s="152" t="s">
        <v>217</v>
      </c>
      <c r="R133" s="152" t="s">
        <v>216</v>
      </c>
      <c r="S133" s="152" t="s">
        <v>217</v>
      </c>
      <c r="T133" s="317"/>
    </row>
    <row r="134" spans="1:20" ht="18.75" customHeight="1" x14ac:dyDescent="0.2">
      <c r="A134" s="243" t="s">
        <v>276</v>
      </c>
      <c r="B134" s="324" t="s">
        <v>277</v>
      </c>
      <c r="C134" s="325"/>
      <c r="D134" s="269" t="s">
        <v>240</v>
      </c>
      <c r="E134" s="269"/>
      <c r="F134" s="269"/>
      <c r="G134" s="269"/>
      <c r="H134" s="269"/>
      <c r="I134" s="269"/>
      <c r="J134" s="269"/>
      <c r="K134" s="269"/>
      <c r="L134" s="102"/>
      <c r="M134" s="102"/>
      <c r="N134" s="102"/>
      <c r="O134" s="102"/>
      <c r="P134" s="102"/>
      <c r="Q134" s="126"/>
      <c r="R134" s="126"/>
      <c r="S134" s="126"/>
      <c r="T134" s="128">
        <f>L134+M134+N134+O134+P134+Q134+R134+S134</f>
        <v>0</v>
      </c>
    </row>
    <row r="135" spans="1:20" ht="18.75" customHeight="1" x14ac:dyDescent="0.2">
      <c r="A135" s="244"/>
      <c r="B135" s="326"/>
      <c r="C135" s="326"/>
      <c r="D135" s="286" t="s">
        <v>278</v>
      </c>
      <c r="E135" s="286"/>
      <c r="F135" s="286"/>
      <c r="G135" s="286"/>
      <c r="H135" s="286"/>
      <c r="I135" s="286"/>
      <c r="J135" s="286"/>
      <c r="K135" s="286"/>
      <c r="L135" s="104"/>
      <c r="M135" s="104"/>
      <c r="N135" s="96"/>
      <c r="O135" s="96"/>
      <c r="P135" s="96"/>
      <c r="Q135" s="118"/>
      <c r="R135" s="118"/>
      <c r="S135" s="118"/>
      <c r="T135" s="128">
        <f>L135+M135+N135+O135+P135+Q135+R135+S135</f>
        <v>0</v>
      </c>
    </row>
    <row r="136" spans="1:20" ht="4.5" customHeight="1" x14ac:dyDescent="0.2">
      <c r="A136" s="76"/>
      <c r="B136" s="94"/>
      <c r="C136" s="94"/>
      <c r="D136" s="81"/>
      <c r="E136" s="81"/>
      <c r="F136" s="81"/>
      <c r="G136" s="81"/>
      <c r="H136" s="81"/>
      <c r="I136" s="81"/>
      <c r="J136" s="81"/>
      <c r="K136" s="81"/>
      <c r="L136" s="153"/>
      <c r="M136" s="153"/>
      <c r="N136" s="97"/>
      <c r="O136" s="97"/>
      <c r="P136" s="97"/>
      <c r="Q136" s="120"/>
      <c r="R136" s="120"/>
      <c r="S136" s="120"/>
      <c r="T136" s="157">
        <f>T134+T135</f>
        <v>0</v>
      </c>
    </row>
    <row r="137" spans="1:20" ht="4.5" customHeight="1" x14ac:dyDescent="0.2">
      <c r="A137" s="87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110"/>
      <c r="M137" s="110"/>
      <c r="N137" s="110"/>
      <c r="O137" s="110"/>
      <c r="P137" s="110"/>
      <c r="Q137" s="140"/>
      <c r="R137" s="140"/>
      <c r="S137" s="140"/>
      <c r="T137" s="158" t="e">
        <f>#REF!+#REF!+#REF!</f>
        <v>#REF!</v>
      </c>
    </row>
    <row r="138" spans="1:20" ht="22.5" customHeight="1" x14ac:dyDescent="0.2">
      <c r="A138" s="258" t="s">
        <v>279</v>
      </c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87"/>
      <c r="T138" s="159">
        <f>T136</f>
        <v>0</v>
      </c>
    </row>
    <row r="139" spans="1:20" ht="20.25" customHeight="1" x14ac:dyDescent="0.2">
      <c r="A139" s="288" t="s">
        <v>280</v>
      </c>
      <c r="B139" s="289"/>
      <c r="C139" s="289"/>
      <c r="D139" s="289"/>
      <c r="E139" s="289"/>
      <c r="F139" s="289"/>
      <c r="G139" s="289" t="s">
        <v>184</v>
      </c>
      <c r="H139" s="289"/>
      <c r="I139" s="289"/>
      <c r="J139" s="289"/>
      <c r="K139" s="289"/>
      <c r="L139" s="289"/>
      <c r="M139" s="289"/>
      <c r="N139" s="289"/>
      <c r="O139" s="289"/>
      <c r="P139" s="50" t="s">
        <v>185</v>
      </c>
      <c r="Q139" s="50" t="s">
        <v>186</v>
      </c>
      <c r="R139" s="50" t="s">
        <v>187</v>
      </c>
      <c r="S139" s="50" t="s">
        <v>188</v>
      </c>
      <c r="T139" s="69" t="s">
        <v>165</v>
      </c>
    </row>
    <row r="140" spans="1:20" x14ac:dyDescent="0.2">
      <c r="A140" s="19" t="s">
        <v>276</v>
      </c>
      <c r="B140" s="290" t="s">
        <v>126</v>
      </c>
      <c r="C140" s="290"/>
      <c r="D140" s="290"/>
      <c r="E140" s="290"/>
      <c r="F140" s="290"/>
      <c r="G140" s="257" t="s">
        <v>281</v>
      </c>
      <c r="H140" s="257"/>
      <c r="I140" s="257"/>
      <c r="J140" s="257"/>
      <c r="K140" s="257"/>
      <c r="L140" s="257"/>
      <c r="M140" s="257"/>
      <c r="N140" s="257"/>
      <c r="O140" s="257"/>
      <c r="P140" s="16"/>
      <c r="Q140" s="116"/>
      <c r="R140" s="116"/>
      <c r="S140" s="116"/>
      <c r="T140" s="128">
        <f>P140+Q140+R140+S140</f>
        <v>0</v>
      </c>
    </row>
    <row r="141" spans="1:20" ht="25.5" customHeight="1" x14ac:dyDescent="0.2">
      <c r="A141" s="19" t="s">
        <v>282</v>
      </c>
      <c r="B141" s="291" t="s">
        <v>129</v>
      </c>
      <c r="C141" s="291"/>
      <c r="D141" s="291"/>
      <c r="E141" s="291"/>
      <c r="F141" s="291"/>
      <c r="G141" s="209" t="s">
        <v>281</v>
      </c>
      <c r="H141" s="209"/>
      <c r="I141" s="209"/>
      <c r="J141" s="209"/>
      <c r="K141" s="209"/>
      <c r="L141" s="209"/>
      <c r="M141" s="209"/>
      <c r="N141" s="209"/>
      <c r="O141" s="209"/>
      <c r="P141" s="16"/>
      <c r="Q141" s="116"/>
      <c r="R141" s="116"/>
      <c r="S141" s="116"/>
      <c r="T141" s="160">
        <f>P141+Q141+R141+S141</f>
        <v>0</v>
      </c>
    </row>
    <row r="142" spans="1:20" ht="25.5" customHeight="1" x14ac:dyDescent="0.2">
      <c r="A142" s="19" t="s">
        <v>283</v>
      </c>
      <c r="B142" s="224" t="s">
        <v>131</v>
      </c>
      <c r="C142" s="224"/>
      <c r="D142" s="224"/>
      <c r="E142" s="224"/>
      <c r="F142" s="224"/>
      <c r="G142" s="209" t="s">
        <v>281</v>
      </c>
      <c r="H142" s="209"/>
      <c r="I142" s="209"/>
      <c r="J142" s="209"/>
      <c r="K142" s="209"/>
      <c r="L142" s="209"/>
      <c r="M142" s="209"/>
      <c r="N142" s="209"/>
      <c r="O142" s="209"/>
      <c r="P142" s="16"/>
      <c r="Q142" s="116"/>
      <c r="R142" s="116"/>
      <c r="S142" s="116"/>
      <c r="T142" s="160">
        <f>P142+Q142+R142+S142</f>
        <v>0</v>
      </c>
    </row>
    <row r="143" spans="1:20" ht="25.5" customHeight="1" x14ac:dyDescent="0.2">
      <c r="A143" s="19" t="s">
        <v>284</v>
      </c>
      <c r="B143" s="224" t="s">
        <v>133</v>
      </c>
      <c r="C143" s="224"/>
      <c r="D143" s="224"/>
      <c r="E143" s="224"/>
      <c r="F143" s="224"/>
      <c r="G143" s="209" t="s">
        <v>281</v>
      </c>
      <c r="H143" s="209"/>
      <c r="I143" s="209"/>
      <c r="J143" s="209"/>
      <c r="K143" s="209"/>
      <c r="L143" s="209"/>
      <c r="M143" s="209"/>
      <c r="N143" s="209"/>
      <c r="O143" s="209"/>
      <c r="P143" s="16"/>
      <c r="Q143" s="116"/>
      <c r="R143" s="116"/>
      <c r="S143" s="116"/>
      <c r="T143" s="160">
        <f t="shared" ref="T143:T148" si="12">P143+Q143+R143+S143</f>
        <v>0</v>
      </c>
    </row>
    <row r="144" spans="1:20" ht="25.5" customHeight="1" x14ac:dyDescent="0.2">
      <c r="A144" s="19" t="s">
        <v>285</v>
      </c>
      <c r="B144" s="291" t="s">
        <v>135</v>
      </c>
      <c r="C144" s="291"/>
      <c r="D144" s="291"/>
      <c r="E144" s="291"/>
      <c r="F144" s="291"/>
      <c r="G144" s="209" t="s">
        <v>281</v>
      </c>
      <c r="H144" s="209"/>
      <c r="I144" s="209"/>
      <c r="J144" s="209"/>
      <c r="K144" s="209"/>
      <c r="L144" s="209"/>
      <c r="M144" s="209"/>
      <c r="N144" s="209"/>
      <c r="O144" s="209"/>
      <c r="P144" s="16"/>
      <c r="Q144" s="116"/>
      <c r="R144" s="116"/>
      <c r="S144" s="116"/>
      <c r="T144" s="160">
        <f t="shared" si="12"/>
        <v>0</v>
      </c>
    </row>
    <row r="145" spans="1:20" ht="15" customHeight="1" x14ac:dyDescent="0.2">
      <c r="A145" s="223" t="s">
        <v>286</v>
      </c>
      <c r="B145" s="224" t="s">
        <v>287</v>
      </c>
      <c r="C145" s="224"/>
      <c r="D145" s="224"/>
      <c r="E145" s="224"/>
      <c r="F145" s="224"/>
      <c r="G145" s="257" t="s">
        <v>288</v>
      </c>
      <c r="H145" s="257"/>
      <c r="I145" s="257"/>
      <c r="J145" s="257"/>
      <c r="K145" s="257"/>
      <c r="L145" s="257"/>
      <c r="M145" s="257"/>
      <c r="N145" s="257"/>
      <c r="O145" s="257"/>
      <c r="P145" s="16"/>
      <c r="Q145" s="116"/>
      <c r="R145" s="116"/>
      <c r="S145" s="116"/>
      <c r="T145" s="160">
        <f t="shared" si="12"/>
        <v>0</v>
      </c>
    </row>
    <row r="146" spans="1:20" ht="15" customHeight="1" x14ac:dyDescent="0.2">
      <c r="A146" s="223"/>
      <c r="B146" s="224"/>
      <c r="C146" s="224"/>
      <c r="D146" s="224"/>
      <c r="E146" s="224"/>
      <c r="F146" s="224"/>
      <c r="G146" s="257" t="s">
        <v>289</v>
      </c>
      <c r="H146" s="257"/>
      <c r="I146" s="257"/>
      <c r="J146" s="257"/>
      <c r="K146" s="257"/>
      <c r="L146" s="257"/>
      <c r="M146" s="257"/>
      <c r="N146" s="257"/>
      <c r="O146" s="257"/>
      <c r="P146" s="16"/>
      <c r="Q146" s="116"/>
      <c r="R146" s="116"/>
      <c r="S146" s="116"/>
      <c r="T146" s="160">
        <f t="shared" si="12"/>
        <v>0</v>
      </c>
    </row>
    <row r="147" spans="1:20" ht="15" customHeight="1" x14ac:dyDescent="0.2">
      <c r="A147" s="223"/>
      <c r="B147" s="224"/>
      <c r="C147" s="224"/>
      <c r="D147" s="224"/>
      <c r="E147" s="224"/>
      <c r="F147" s="224"/>
      <c r="G147" s="257" t="s">
        <v>290</v>
      </c>
      <c r="H147" s="257"/>
      <c r="I147" s="257"/>
      <c r="J147" s="257"/>
      <c r="K147" s="257"/>
      <c r="L147" s="257"/>
      <c r="M147" s="257"/>
      <c r="N147" s="257"/>
      <c r="O147" s="257"/>
      <c r="P147" s="16"/>
      <c r="Q147" s="116"/>
      <c r="R147" s="116"/>
      <c r="S147" s="116"/>
      <c r="T147" s="160">
        <f t="shared" si="12"/>
        <v>0</v>
      </c>
    </row>
    <row r="148" spans="1:20" ht="15" customHeight="1" x14ac:dyDescent="0.2">
      <c r="A148" s="223"/>
      <c r="B148" s="224"/>
      <c r="C148" s="224"/>
      <c r="D148" s="224"/>
      <c r="E148" s="224"/>
      <c r="F148" s="224"/>
      <c r="G148" s="257" t="s">
        <v>291</v>
      </c>
      <c r="H148" s="257"/>
      <c r="I148" s="257"/>
      <c r="J148" s="257"/>
      <c r="K148" s="257"/>
      <c r="L148" s="257"/>
      <c r="M148" s="257"/>
      <c r="N148" s="257"/>
      <c r="O148" s="257"/>
      <c r="P148" s="16"/>
      <c r="Q148" s="116"/>
      <c r="R148" s="116"/>
      <c r="S148" s="116"/>
      <c r="T148" s="160">
        <f t="shared" si="12"/>
        <v>0</v>
      </c>
    </row>
    <row r="149" spans="1:20" ht="10.5" customHeight="1" x14ac:dyDescent="0.2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3"/>
      <c r="M149" s="23"/>
      <c r="N149" s="23"/>
      <c r="O149" s="23"/>
      <c r="P149" s="16"/>
      <c r="Q149" s="116"/>
      <c r="R149" s="116"/>
      <c r="S149" s="116"/>
      <c r="T149" s="160"/>
    </row>
    <row r="150" spans="1:20" ht="21.75" customHeight="1" x14ac:dyDescent="0.2">
      <c r="A150" s="149" t="s">
        <v>292</v>
      </c>
      <c r="B150" s="285" t="s">
        <v>143</v>
      </c>
      <c r="C150" s="285"/>
      <c r="D150" s="285"/>
      <c r="E150" s="285"/>
      <c r="F150" s="285"/>
      <c r="G150" s="286" t="s">
        <v>281</v>
      </c>
      <c r="H150" s="286"/>
      <c r="I150" s="286"/>
      <c r="J150" s="286"/>
      <c r="K150" s="286"/>
      <c r="L150" s="286"/>
      <c r="M150" s="286"/>
      <c r="N150" s="286"/>
      <c r="O150" s="286"/>
      <c r="P150" s="96"/>
      <c r="Q150" s="118"/>
      <c r="R150" s="118"/>
      <c r="S150" s="118"/>
      <c r="T150" s="161">
        <f>P150+Q150+R150+S150</f>
        <v>0</v>
      </c>
    </row>
    <row r="151" spans="1:20" ht="21" customHeight="1" x14ac:dyDescent="0.2">
      <c r="A151" s="335" t="s">
        <v>293</v>
      </c>
      <c r="B151" s="336"/>
      <c r="C151" s="336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150"/>
      <c r="T151" s="162">
        <f>T140+T141+T142+T143+T144+T145+T146+T147+T148+T150</f>
        <v>0</v>
      </c>
    </row>
    <row r="152" spans="1:20" x14ac:dyDescent="0.2">
      <c r="A152" s="337" t="s">
        <v>294</v>
      </c>
      <c r="B152" s="338"/>
      <c r="C152" s="338"/>
      <c r="D152" s="338"/>
      <c r="E152" s="338"/>
      <c r="F152" s="338"/>
      <c r="G152" s="339" t="s">
        <v>184</v>
      </c>
      <c r="H152" s="339"/>
      <c r="I152" s="339"/>
      <c r="J152" s="339"/>
      <c r="K152" s="339"/>
      <c r="L152" s="339"/>
      <c r="M152" s="339"/>
      <c r="N152" s="339"/>
      <c r="O152" s="339"/>
      <c r="P152" s="49" t="s">
        <v>185</v>
      </c>
      <c r="Q152" s="49" t="s">
        <v>186</v>
      </c>
      <c r="R152" s="49" t="s">
        <v>187</v>
      </c>
      <c r="S152" s="49" t="s">
        <v>188</v>
      </c>
      <c r="T152" s="163" t="s">
        <v>171</v>
      </c>
    </row>
    <row r="153" spans="1:20" ht="15.75" customHeight="1" x14ac:dyDescent="0.2">
      <c r="A153" s="25" t="s">
        <v>276</v>
      </c>
      <c r="B153" s="340" t="s">
        <v>145</v>
      </c>
      <c r="C153" s="341"/>
      <c r="D153" s="341"/>
      <c r="E153" s="341"/>
      <c r="F153" s="342"/>
      <c r="G153" s="269" t="s">
        <v>295</v>
      </c>
      <c r="H153" s="269"/>
      <c r="I153" s="269"/>
      <c r="J153" s="269"/>
      <c r="K153" s="269"/>
      <c r="L153" s="269"/>
      <c r="M153" s="269"/>
      <c r="N153" s="269"/>
      <c r="O153" s="269"/>
      <c r="P153" s="102"/>
      <c r="Q153" s="126"/>
      <c r="R153" s="126"/>
      <c r="S153" s="126"/>
      <c r="T153" s="128">
        <f>P153+Q153+R153+S153</f>
        <v>0</v>
      </c>
    </row>
    <row r="154" spans="1:20" ht="19.5" customHeight="1" x14ac:dyDescent="0.2">
      <c r="A154" s="28" t="s">
        <v>282</v>
      </c>
      <c r="B154" s="343" t="s">
        <v>148</v>
      </c>
      <c r="C154" s="343"/>
      <c r="D154" s="343"/>
      <c r="E154" s="343"/>
      <c r="F154" s="343"/>
      <c r="G154" s="344" t="s">
        <v>296</v>
      </c>
      <c r="H154" s="344"/>
      <c r="I154" s="344"/>
      <c r="J154" s="344"/>
      <c r="K154" s="344"/>
      <c r="L154" s="344"/>
      <c r="M154" s="344"/>
      <c r="N154" s="344"/>
      <c r="O154" s="344"/>
      <c r="P154" s="96"/>
      <c r="Q154" s="118"/>
      <c r="R154" s="118"/>
      <c r="S154" s="118"/>
      <c r="T154" s="130">
        <f t="shared" ref="T154" si="13">P154+Q154+R154+S154</f>
        <v>0</v>
      </c>
    </row>
    <row r="155" spans="1:20" ht="15.75" customHeight="1" x14ac:dyDescent="0.2">
      <c r="A155" s="345" t="s">
        <v>297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162">
        <f>T153+T154</f>
        <v>0</v>
      </c>
    </row>
    <row r="156" spans="1:20" ht="15.75" customHeight="1" x14ac:dyDescent="0.2">
      <c r="A156" s="347" t="s">
        <v>298</v>
      </c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135">
        <f>T138+T151++T155</f>
        <v>0</v>
      </c>
    </row>
    <row r="157" spans="1:20" ht="15.75" customHeight="1" x14ac:dyDescent="0.2">
      <c r="A157" s="318" t="s">
        <v>152</v>
      </c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8">
        <f>T35+T130+T156</f>
        <v>362</v>
      </c>
      <c r="T157" s="322"/>
    </row>
    <row r="158" spans="1:20" ht="21.75" customHeight="1" x14ac:dyDescent="0.2">
      <c r="A158" s="320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0"/>
      <c r="T158" s="323"/>
    </row>
  </sheetData>
  <mergeCells count="263">
    <mergeCell ref="B94:C95"/>
    <mergeCell ref="D94:K95"/>
    <mergeCell ref="B89:C92"/>
    <mergeCell ref="B83:C87"/>
    <mergeCell ref="B77:C81"/>
    <mergeCell ref="A75:C76"/>
    <mergeCell ref="D75:K76"/>
    <mergeCell ref="B69:I72"/>
    <mergeCell ref="B25:B26"/>
    <mergeCell ref="B27:B28"/>
    <mergeCell ref="B29:B30"/>
    <mergeCell ref="B31:B33"/>
    <mergeCell ref="J51:O51"/>
    <mergeCell ref="J52:O52"/>
    <mergeCell ref="J53:O53"/>
    <mergeCell ref="J54:O54"/>
    <mergeCell ref="A83:A87"/>
    <mergeCell ref="A89:A92"/>
    <mergeCell ref="T132:T133"/>
    <mergeCell ref="A157:R158"/>
    <mergeCell ref="S157:T158"/>
    <mergeCell ref="B145:F148"/>
    <mergeCell ref="B134:C135"/>
    <mergeCell ref="A132:C133"/>
    <mergeCell ref="D132:K133"/>
    <mergeCell ref="B123:D126"/>
    <mergeCell ref="B114:F115"/>
    <mergeCell ref="A118:C119"/>
    <mergeCell ref="D118:K119"/>
    <mergeCell ref="A151:R151"/>
    <mergeCell ref="A152:F152"/>
    <mergeCell ref="G152:O152"/>
    <mergeCell ref="B153:F153"/>
    <mergeCell ref="G153:O153"/>
    <mergeCell ref="B154:F154"/>
    <mergeCell ref="G154:O154"/>
    <mergeCell ref="A155:S155"/>
    <mergeCell ref="A156:S156"/>
    <mergeCell ref="B143:F143"/>
    <mergeCell ref="G143:O143"/>
    <mergeCell ref="B144:F144"/>
    <mergeCell ref="G144:O144"/>
    <mergeCell ref="T17:T18"/>
    <mergeCell ref="T19:T21"/>
    <mergeCell ref="T23:T24"/>
    <mergeCell ref="T25:T26"/>
    <mergeCell ref="T27:T28"/>
    <mergeCell ref="T29:T30"/>
    <mergeCell ref="T31:T33"/>
    <mergeCell ref="T75:T76"/>
    <mergeCell ref="T118:T119"/>
    <mergeCell ref="A94:A95"/>
    <mergeCell ref="A101:A103"/>
    <mergeCell ref="G101:O101"/>
    <mergeCell ref="G102:O102"/>
    <mergeCell ref="G103:O103"/>
    <mergeCell ref="D80:K80"/>
    <mergeCell ref="D81:K81"/>
    <mergeCell ref="D83:K83"/>
    <mergeCell ref="D84:K84"/>
    <mergeCell ref="D85:K85"/>
    <mergeCell ref="D86:K86"/>
    <mergeCell ref="D87:K87"/>
    <mergeCell ref="D89:K89"/>
    <mergeCell ref="D90:K90"/>
    <mergeCell ref="D91:K91"/>
    <mergeCell ref="D92:K92"/>
    <mergeCell ref="B97:C97"/>
    <mergeCell ref="D97:K97"/>
    <mergeCell ref="A98:R98"/>
    <mergeCell ref="A99:F99"/>
    <mergeCell ref="G99:O99"/>
    <mergeCell ref="B100:F100"/>
    <mergeCell ref="G100:O100"/>
    <mergeCell ref="B101:F103"/>
    <mergeCell ref="A25:A26"/>
    <mergeCell ref="A27:A28"/>
    <mergeCell ref="A29:A30"/>
    <mergeCell ref="A31:A33"/>
    <mergeCell ref="A38:A43"/>
    <mergeCell ref="A45:A49"/>
    <mergeCell ref="A51:A55"/>
    <mergeCell ref="A57:A61"/>
    <mergeCell ref="A63:A67"/>
    <mergeCell ref="G145:O145"/>
    <mergeCell ref="G146:O146"/>
    <mergeCell ref="G147:O147"/>
    <mergeCell ref="G148:O148"/>
    <mergeCell ref="B150:F150"/>
    <mergeCell ref="G150:O150"/>
    <mergeCell ref="D135:K135"/>
    <mergeCell ref="A138:S138"/>
    <mergeCell ref="A139:F139"/>
    <mergeCell ref="G139:O139"/>
    <mergeCell ref="B140:F140"/>
    <mergeCell ref="G140:O140"/>
    <mergeCell ref="B141:F141"/>
    <mergeCell ref="G141:O141"/>
    <mergeCell ref="B142:F142"/>
    <mergeCell ref="G142:O142"/>
    <mergeCell ref="A134:A135"/>
    <mergeCell ref="A145:A148"/>
    <mergeCell ref="E129:O129"/>
    <mergeCell ref="A130:S130"/>
    <mergeCell ref="A131:R131"/>
    <mergeCell ref="L132:M132"/>
    <mergeCell ref="N132:O132"/>
    <mergeCell ref="P132:Q132"/>
    <mergeCell ref="R132:S132"/>
    <mergeCell ref="D134:K134"/>
    <mergeCell ref="B120:C120"/>
    <mergeCell ref="D120:K120"/>
    <mergeCell ref="A121:R121"/>
    <mergeCell ref="E122:O122"/>
    <mergeCell ref="E123:O123"/>
    <mergeCell ref="E124:O124"/>
    <mergeCell ref="E125:O125"/>
    <mergeCell ref="E126:O126"/>
    <mergeCell ref="B128:R128"/>
    <mergeCell ref="A123:A126"/>
    <mergeCell ref="A129:D129"/>
    <mergeCell ref="G111:O111"/>
    <mergeCell ref="G112:O112"/>
    <mergeCell ref="G114:O114"/>
    <mergeCell ref="G115:O115"/>
    <mergeCell ref="A117:S117"/>
    <mergeCell ref="L118:M118"/>
    <mergeCell ref="N118:O118"/>
    <mergeCell ref="P118:Q118"/>
    <mergeCell ref="R118:S118"/>
    <mergeCell ref="B105:F112"/>
    <mergeCell ref="G105:O105"/>
    <mergeCell ref="G106:O106"/>
    <mergeCell ref="G107:O107"/>
    <mergeCell ref="G108:O108"/>
    <mergeCell ref="G109:O109"/>
    <mergeCell ref="G110:O110"/>
    <mergeCell ref="A105:A112"/>
    <mergeCell ref="A114:A115"/>
    <mergeCell ref="N75:O75"/>
    <mergeCell ref="P75:Q75"/>
    <mergeCell ref="R75:S75"/>
    <mergeCell ref="D77:K77"/>
    <mergeCell ref="D78:K78"/>
    <mergeCell ref="D79:K79"/>
    <mergeCell ref="A69:A72"/>
    <mergeCell ref="A77:A81"/>
    <mergeCell ref="J61:O61"/>
    <mergeCell ref="J63:O63"/>
    <mergeCell ref="J64:O64"/>
    <mergeCell ref="J65:O65"/>
    <mergeCell ref="J66:O66"/>
    <mergeCell ref="J67:O67"/>
    <mergeCell ref="J69:O69"/>
    <mergeCell ref="J70:O70"/>
    <mergeCell ref="J71:O71"/>
    <mergeCell ref="J72:O72"/>
    <mergeCell ref="A74:S74"/>
    <mergeCell ref="L75:M75"/>
    <mergeCell ref="B63:I67"/>
    <mergeCell ref="B57:I61"/>
    <mergeCell ref="J60:O60"/>
    <mergeCell ref="J40:O40"/>
    <mergeCell ref="J41:O41"/>
    <mergeCell ref="J42:O42"/>
    <mergeCell ref="J43:O43"/>
    <mergeCell ref="J45:O45"/>
    <mergeCell ref="J46:O46"/>
    <mergeCell ref="J47:O47"/>
    <mergeCell ref="J48:O48"/>
    <mergeCell ref="J49:O49"/>
    <mergeCell ref="A34:S34"/>
    <mergeCell ref="A35:S35"/>
    <mergeCell ref="J37:O37"/>
    <mergeCell ref="J38:O38"/>
    <mergeCell ref="J39:O39"/>
    <mergeCell ref="J55:O55"/>
    <mergeCell ref="J57:O57"/>
    <mergeCell ref="J58:O58"/>
    <mergeCell ref="J59:O59"/>
    <mergeCell ref="B51:I55"/>
    <mergeCell ref="B45:I49"/>
    <mergeCell ref="B38:I43"/>
    <mergeCell ref="D31:G31"/>
    <mergeCell ref="H31:K31"/>
    <mergeCell ref="L31:O31"/>
    <mergeCell ref="P31:S31"/>
    <mergeCell ref="D32:G32"/>
    <mergeCell ref="H32:K32"/>
    <mergeCell ref="L32:O32"/>
    <mergeCell ref="P32:S32"/>
    <mergeCell ref="D33:G33"/>
    <mergeCell ref="H33:K33"/>
    <mergeCell ref="L33:O33"/>
    <mergeCell ref="P33:S33"/>
    <mergeCell ref="D28:G28"/>
    <mergeCell ref="H28:K28"/>
    <mergeCell ref="L28:O28"/>
    <mergeCell ref="P28:S28"/>
    <mergeCell ref="D29:G29"/>
    <mergeCell ref="H29:K29"/>
    <mergeCell ref="L29:O29"/>
    <mergeCell ref="P29:S29"/>
    <mergeCell ref="D30:G30"/>
    <mergeCell ref="H30:K30"/>
    <mergeCell ref="L30:O30"/>
    <mergeCell ref="P30:S30"/>
    <mergeCell ref="D25:G25"/>
    <mergeCell ref="H25:K25"/>
    <mergeCell ref="L25:O25"/>
    <mergeCell ref="P25:S25"/>
    <mergeCell ref="D26:G26"/>
    <mergeCell ref="H26:K26"/>
    <mergeCell ref="L26:O26"/>
    <mergeCell ref="P26:S26"/>
    <mergeCell ref="D27:G27"/>
    <mergeCell ref="H27:K27"/>
    <mergeCell ref="L27:O27"/>
    <mergeCell ref="P27:S27"/>
    <mergeCell ref="D17:G17"/>
    <mergeCell ref="H17:K17"/>
    <mergeCell ref="L17:O17"/>
    <mergeCell ref="P17:S17"/>
    <mergeCell ref="A22:R22"/>
    <mergeCell ref="D23:G23"/>
    <mergeCell ref="H23:K23"/>
    <mergeCell ref="L23:O23"/>
    <mergeCell ref="P23:S23"/>
    <mergeCell ref="A19:A21"/>
    <mergeCell ref="B19:B21"/>
    <mergeCell ref="K19:K21"/>
    <mergeCell ref="O19:O21"/>
    <mergeCell ref="S19:S21"/>
    <mergeCell ref="C17:C18"/>
    <mergeCell ref="C23:C24"/>
    <mergeCell ref="G19:G21"/>
    <mergeCell ref="D24:G24"/>
    <mergeCell ref="H24:K24"/>
    <mergeCell ref="L24:O24"/>
    <mergeCell ref="P24:S24"/>
    <mergeCell ref="A23:B24"/>
    <mergeCell ref="A17:B18"/>
    <mergeCell ref="B1:T1"/>
    <mergeCell ref="A3:T3"/>
    <mergeCell ref="A4:T4"/>
    <mergeCell ref="B5:T5"/>
    <mergeCell ref="A9:T9"/>
    <mergeCell ref="D10:H10"/>
    <mergeCell ref="I10:M10"/>
    <mergeCell ref="O10:S10"/>
    <mergeCell ref="A16:R16"/>
    <mergeCell ref="A10:A11"/>
    <mergeCell ref="A12:A13"/>
    <mergeCell ref="A14:A15"/>
    <mergeCell ref="B10:B11"/>
    <mergeCell ref="B12:B13"/>
    <mergeCell ref="B14:B15"/>
    <mergeCell ref="N10:N11"/>
    <mergeCell ref="T10:T11"/>
    <mergeCell ref="T12:T13"/>
    <mergeCell ref="T14:T15"/>
    <mergeCell ref="C10:C11"/>
    <mergeCell ref="C12:C15"/>
  </mergeCells>
  <pageMargins left="0.7" right="0.7" top="0.75" bottom="0.75" header="0.3" footer="0.3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58"/>
  <sheetViews>
    <sheetView topLeftCell="A142" workbookViewId="0">
      <selection activeCell="G19" sqref="G19:G21"/>
    </sheetView>
  </sheetViews>
  <sheetFormatPr defaultColWidth="9.140625" defaultRowHeight="11.25" x14ac:dyDescent="0.2"/>
  <cols>
    <col min="1" max="1" width="5" style="1" customWidth="1"/>
    <col min="2" max="2" width="25.7109375" style="2" customWidth="1"/>
    <col min="3" max="3" width="11.140625" style="2" customWidth="1"/>
    <col min="4" max="11" width="3.42578125" style="2" customWidth="1"/>
    <col min="12" max="19" width="4.42578125" style="2" customWidth="1"/>
    <col min="20" max="20" width="26.140625" style="2" customWidth="1"/>
    <col min="21" max="21" width="9.140625" style="2"/>
    <col min="22" max="22" width="32.28515625" style="2" customWidth="1"/>
    <col min="23" max="16384" width="9.140625" style="2"/>
  </cols>
  <sheetData>
    <row r="1" spans="1:20" ht="18" customHeight="1" x14ac:dyDescent="0.2">
      <c r="B1" s="192" t="s">
        <v>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20" ht="9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O2" s="3"/>
      <c r="P2" s="42" t="s">
        <v>153</v>
      </c>
      <c r="Q2" s="42"/>
      <c r="R2" s="42"/>
      <c r="S2" s="42"/>
      <c r="T2" s="42"/>
    </row>
    <row r="3" spans="1:20" ht="15" customHeight="1" x14ac:dyDescent="0.2">
      <c r="A3" s="193" t="s">
        <v>154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20" ht="50.25" customHeight="1" x14ac:dyDescent="0.2">
      <c r="A4" s="194" t="s">
        <v>155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</row>
    <row r="5" spans="1:20" ht="16.5" customHeight="1" x14ac:dyDescent="0.2">
      <c r="A5" s="4" t="s">
        <v>3</v>
      </c>
      <c r="B5" s="197" t="s">
        <v>156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9"/>
    </row>
    <row r="6" spans="1:20" ht="17.25" customHeight="1" x14ac:dyDescent="0.2">
      <c r="A6" s="5" t="s">
        <v>157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8"/>
    </row>
    <row r="7" spans="1:20" ht="33" customHeight="1" x14ac:dyDescent="0.2">
      <c r="A7" s="7" t="s">
        <v>158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59"/>
    </row>
    <row r="8" spans="1:20" ht="14.25" customHeight="1" x14ac:dyDescent="0.2">
      <c r="A8" s="9" t="s">
        <v>159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60">
        <v>0.2</v>
      </c>
    </row>
    <row r="9" spans="1:20" ht="25.5" customHeight="1" x14ac:dyDescent="0.2">
      <c r="A9" s="200" t="s">
        <v>160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2"/>
    </row>
    <row r="10" spans="1:20" ht="19.5" customHeight="1" x14ac:dyDescent="0.2">
      <c r="A10" s="207"/>
      <c r="B10" s="210"/>
      <c r="C10" s="217" t="s">
        <v>14</v>
      </c>
      <c r="D10" s="203" t="s">
        <v>161</v>
      </c>
      <c r="E10" s="203"/>
      <c r="F10" s="203"/>
      <c r="G10" s="203"/>
      <c r="H10" s="203"/>
      <c r="I10" s="203" t="s">
        <v>162</v>
      </c>
      <c r="J10" s="203"/>
      <c r="K10" s="203"/>
      <c r="L10" s="203"/>
      <c r="M10" s="203"/>
      <c r="N10" s="204" t="s">
        <v>163</v>
      </c>
      <c r="O10" s="204" t="s">
        <v>164</v>
      </c>
      <c r="P10" s="204"/>
      <c r="Q10" s="204"/>
      <c r="R10" s="204"/>
      <c r="S10" s="204"/>
      <c r="T10" s="213" t="s">
        <v>165</v>
      </c>
    </row>
    <row r="11" spans="1:20" ht="22.5" customHeight="1" x14ac:dyDescent="0.2">
      <c r="A11" s="208"/>
      <c r="B11" s="211"/>
      <c r="C11" s="218"/>
      <c r="D11" s="12" t="s">
        <v>8</v>
      </c>
      <c r="E11" s="12" t="s">
        <v>9</v>
      </c>
      <c r="F11" s="12" t="s">
        <v>10</v>
      </c>
      <c r="G11" s="12" t="s">
        <v>11</v>
      </c>
      <c r="H11" s="12" t="s">
        <v>166</v>
      </c>
      <c r="I11" s="12" t="s">
        <v>8</v>
      </c>
      <c r="J11" s="12" t="s">
        <v>9</v>
      </c>
      <c r="K11" s="12" t="s">
        <v>10</v>
      </c>
      <c r="L11" s="12" t="s">
        <v>11</v>
      </c>
      <c r="M11" s="12" t="s">
        <v>166</v>
      </c>
      <c r="N11" s="212"/>
      <c r="O11" s="12" t="s">
        <v>8</v>
      </c>
      <c r="P11" s="12" t="s">
        <v>9</v>
      </c>
      <c r="Q11" s="12" t="s">
        <v>10</v>
      </c>
      <c r="R11" s="12" t="s">
        <v>11</v>
      </c>
      <c r="S11" s="12" t="s">
        <v>166</v>
      </c>
      <c r="T11" s="214"/>
    </row>
    <row r="12" spans="1:20" ht="12.75" customHeight="1" x14ac:dyDescent="0.2">
      <c r="A12" s="209" t="s">
        <v>50</v>
      </c>
      <c r="B12" s="209" t="s">
        <v>167</v>
      </c>
      <c r="C12" s="219" t="s">
        <v>168</v>
      </c>
      <c r="D12" s="14">
        <v>80</v>
      </c>
      <c r="E12" s="15"/>
      <c r="F12" s="15"/>
      <c r="G12" s="15"/>
      <c r="H12" s="15">
        <f>(D12+E12+F12+G12)/4</f>
        <v>20</v>
      </c>
      <c r="I12" s="17"/>
      <c r="J12" s="17"/>
      <c r="K12" s="17"/>
      <c r="L12" s="17"/>
      <c r="M12" s="15">
        <f>(I12+J12+K12+L12)/4</f>
        <v>0</v>
      </c>
      <c r="N12" s="43">
        <v>1</v>
      </c>
      <c r="O12" s="43"/>
      <c r="P12" s="43"/>
      <c r="Q12" s="43"/>
      <c r="R12" s="43"/>
      <c r="S12" s="43">
        <f>SUM(O12:R12)/4</f>
        <v>0</v>
      </c>
      <c r="T12" s="215">
        <f>(H12+N12-0.2*S12)+(M12-0.2*S12)</f>
        <v>21</v>
      </c>
    </row>
    <row r="13" spans="1:20" ht="21.75" customHeight="1" x14ac:dyDescent="0.2">
      <c r="A13" s="209"/>
      <c r="B13" s="209"/>
      <c r="C13" s="219"/>
      <c r="D13" s="16"/>
      <c r="E13" s="15"/>
      <c r="F13" s="15"/>
      <c r="G13" s="15"/>
      <c r="H13" s="15"/>
      <c r="I13" s="16"/>
      <c r="J13" s="16"/>
      <c r="K13" s="16"/>
      <c r="L13" s="16"/>
      <c r="M13" s="16"/>
      <c r="N13" s="44"/>
      <c r="O13" s="45"/>
      <c r="P13" s="46"/>
      <c r="Q13" s="46"/>
      <c r="R13" s="46"/>
      <c r="S13" s="46"/>
      <c r="T13" s="216"/>
    </row>
    <row r="14" spans="1:20" ht="13.5" customHeight="1" x14ac:dyDescent="0.2">
      <c r="A14" s="209" t="s">
        <v>54</v>
      </c>
      <c r="B14" s="209" t="s">
        <v>169</v>
      </c>
      <c r="C14" s="219"/>
      <c r="D14" s="16">
        <v>80</v>
      </c>
      <c r="E14" s="16"/>
      <c r="F14" s="16"/>
      <c r="G14" s="16"/>
      <c r="H14" s="15">
        <f>(D14+E14+F14+G14)/4</f>
        <v>20</v>
      </c>
      <c r="I14" s="16"/>
      <c r="J14" s="16"/>
      <c r="K14" s="16"/>
      <c r="L14" s="16"/>
      <c r="M14" s="15">
        <f>(I14+J14+K14+L14)/4</f>
        <v>0</v>
      </c>
      <c r="N14" s="43">
        <v>1</v>
      </c>
      <c r="O14" s="43"/>
      <c r="P14" s="43"/>
      <c r="Q14" s="43"/>
      <c r="R14" s="43"/>
      <c r="S14" s="43">
        <f>SUM(O14:R14)/4</f>
        <v>0</v>
      </c>
      <c r="T14" s="215">
        <f>(H14+N14-0.2*S14)+(M14-0.2*S14)</f>
        <v>21</v>
      </c>
    </row>
    <row r="15" spans="1:20" ht="33" customHeight="1" x14ac:dyDescent="0.2">
      <c r="A15" s="209"/>
      <c r="B15" s="209"/>
      <c r="C15" s="21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47"/>
      <c r="O15" s="48"/>
      <c r="P15" s="46"/>
      <c r="Q15" s="46"/>
      <c r="R15" s="46"/>
      <c r="S15" s="46"/>
      <c r="T15" s="216"/>
    </row>
    <row r="16" spans="1:20" ht="21" customHeight="1" x14ac:dyDescent="0.2">
      <c r="A16" s="205" t="s">
        <v>29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61"/>
      <c r="T16" s="62">
        <f>T12+T14</f>
        <v>42</v>
      </c>
    </row>
    <row r="17" spans="1:20" ht="32.25" customHeight="1" x14ac:dyDescent="0.2">
      <c r="A17" s="356" t="s">
        <v>170</v>
      </c>
      <c r="B17" s="226"/>
      <c r="C17" s="226" t="s">
        <v>14</v>
      </c>
      <c r="D17" s="220" t="s">
        <v>31</v>
      </c>
      <c r="E17" s="220"/>
      <c r="F17" s="220"/>
      <c r="G17" s="220"/>
      <c r="H17" s="220" t="s">
        <v>32</v>
      </c>
      <c r="I17" s="220"/>
      <c r="J17" s="220"/>
      <c r="K17" s="220"/>
      <c r="L17" s="220" t="s">
        <v>33</v>
      </c>
      <c r="M17" s="220"/>
      <c r="N17" s="220"/>
      <c r="O17" s="220"/>
      <c r="P17" s="220" t="s">
        <v>34</v>
      </c>
      <c r="Q17" s="220"/>
      <c r="R17" s="220"/>
      <c r="S17" s="220"/>
      <c r="T17" s="309" t="s">
        <v>171</v>
      </c>
    </row>
    <row r="18" spans="1:20" ht="30" customHeight="1" x14ac:dyDescent="0.2">
      <c r="A18" s="357"/>
      <c r="B18" s="225"/>
      <c r="C18" s="225"/>
      <c r="D18" s="18" t="s">
        <v>35</v>
      </c>
      <c r="E18" s="18" t="s">
        <v>172</v>
      </c>
      <c r="F18" s="18" t="s">
        <v>37</v>
      </c>
      <c r="G18" s="18" t="s">
        <v>39</v>
      </c>
      <c r="H18" s="18" t="s">
        <v>172</v>
      </c>
      <c r="I18" s="18" t="s">
        <v>37</v>
      </c>
      <c r="J18" s="18" t="s">
        <v>35</v>
      </c>
      <c r="K18" s="18" t="s">
        <v>39</v>
      </c>
      <c r="L18" s="18" t="s">
        <v>172</v>
      </c>
      <c r="M18" s="18" t="s">
        <v>37</v>
      </c>
      <c r="N18" s="18" t="s">
        <v>35</v>
      </c>
      <c r="O18" s="18" t="s">
        <v>39</v>
      </c>
      <c r="P18" s="18" t="s">
        <v>172</v>
      </c>
      <c r="Q18" s="18" t="s">
        <v>37</v>
      </c>
      <c r="R18" s="18" t="s">
        <v>35</v>
      </c>
      <c r="S18" s="18" t="s">
        <v>39</v>
      </c>
      <c r="T18" s="310"/>
    </row>
    <row r="19" spans="1:20" ht="11.25" customHeight="1" x14ac:dyDescent="0.2">
      <c r="A19" s="223" t="s">
        <v>50</v>
      </c>
      <c r="B19" s="224" t="s">
        <v>173</v>
      </c>
      <c r="C19" s="13" t="s">
        <v>174</v>
      </c>
      <c r="D19" s="15">
        <v>160</v>
      </c>
      <c r="E19" s="15"/>
      <c r="F19" s="15"/>
      <c r="G19" s="225">
        <f>D19+E19+F19+D20+E20+F20+D21+E21+F21</f>
        <v>160</v>
      </c>
      <c r="H19" s="15"/>
      <c r="I19" s="15"/>
      <c r="J19" s="15"/>
      <c r="K19" s="225">
        <f>H19+I19+J19+H20+I20+J20+H21+I21+J21</f>
        <v>0</v>
      </c>
      <c r="L19" s="15"/>
      <c r="M19" s="15"/>
      <c r="N19" s="15"/>
      <c r="O19" s="225">
        <f>L19+M19+N19+L20+M20+N20+L21+M21+N21</f>
        <v>0</v>
      </c>
      <c r="P19" s="15"/>
      <c r="Q19" s="15"/>
      <c r="R19" s="15"/>
      <c r="S19" s="225">
        <f t="shared" ref="S19" si="0">P19+Q19+R19+P20++Q20+R20+P21+Q21+R21</f>
        <v>0</v>
      </c>
      <c r="T19" s="310">
        <f>(G19+K19+O19+S19)/4</f>
        <v>40</v>
      </c>
    </row>
    <row r="20" spans="1:20" ht="11.25" customHeight="1" x14ac:dyDescent="0.2">
      <c r="A20" s="223"/>
      <c r="B20" s="224"/>
      <c r="C20" s="13" t="s">
        <v>175</v>
      </c>
      <c r="D20" s="15"/>
      <c r="E20" s="15"/>
      <c r="F20" s="15"/>
      <c r="G20" s="225"/>
      <c r="H20" s="15"/>
      <c r="I20" s="15"/>
      <c r="J20" s="15"/>
      <c r="K20" s="225"/>
      <c r="L20" s="15"/>
      <c r="M20" s="15"/>
      <c r="N20" s="15"/>
      <c r="O20" s="225"/>
      <c r="P20" s="15"/>
      <c r="Q20" s="15"/>
      <c r="R20" s="15"/>
      <c r="S20" s="225"/>
      <c r="T20" s="310"/>
    </row>
    <row r="21" spans="1:20" ht="28.5" customHeight="1" x14ac:dyDescent="0.2">
      <c r="A21" s="223"/>
      <c r="B21" s="224"/>
      <c r="C21" s="13" t="s">
        <v>176</v>
      </c>
      <c r="D21" s="15"/>
      <c r="E21" s="15"/>
      <c r="F21" s="15"/>
      <c r="G21" s="225"/>
      <c r="H21" s="15"/>
      <c r="I21" s="15"/>
      <c r="J21" s="15"/>
      <c r="K21" s="225"/>
      <c r="L21" s="15"/>
      <c r="M21" s="15"/>
      <c r="N21" s="15"/>
      <c r="O21" s="225"/>
      <c r="P21" s="15"/>
      <c r="Q21" s="15"/>
      <c r="R21" s="15"/>
      <c r="S21" s="225"/>
      <c r="T21" s="310"/>
    </row>
    <row r="22" spans="1:20" ht="20.25" customHeight="1" x14ac:dyDescent="0.2">
      <c r="A22" s="221" t="s">
        <v>48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1"/>
      <c r="T22" s="63">
        <f>T19</f>
        <v>40</v>
      </c>
    </row>
    <row r="23" spans="1:20" ht="21.75" customHeight="1" x14ac:dyDescent="0.2">
      <c r="A23" s="352" t="s">
        <v>177</v>
      </c>
      <c r="B23" s="353"/>
      <c r="C23" s="226" t="s">
        <v>14</v>
      </c>
      <c r="D23" s="220" t="s">
        <v>31</v>
      </c>
      <c r="E23" s="220"/>
      <c r="F23" s="220"/>
      <c r="G23" s="220"/>
      <c r="H23" s="220" t="s">
        <v>32</v>
      </c>
      <c r="I23" s="220"/>
      <c r="J23" s="220"/>
      <c r="K23" s="220"/>
      <c r="L23" s="220" t="s">
        <v>33</v>
      </c>
      <c r="M23" s="220"/>
      <c r="N23" s="220"/>
      <c r="O23" s="220"/>
      <c r="P23" s="220" t="s">
        <v>34</v>
      </c>
      <c r="Q23" s="220"/>
      <c r="R23" s="220"/>
      <c r="S23" s="220"/>
      <c r="T23" s="311" t="s">
        <v>171</v>
      </c>
    </row>
    <row r="24" spans="1:20" ht="21.75" customHeight="1" x14ac:dyDescent="0.2">
      <c r="A24" s="354"/>
      <c r="B24" s="355"/>
      <c r="C24" s="225"/>
      <c r="D24" s="227" t="s">
        <v>37</v>
      </c>
      <c r="E24" s="228"/>
      <c r="F24" s="228"/>
      <c r="G24" s="229"/>
      <c r="H24" s="227" t="s">
        <v>37</v>
      </c>
      <c r="I24" s="228"/>
      <c r="J24" s="228"/>
      <c r="K24" s="229"/>
      <c r="L24" s="227" t="s">
        <v>37</v>
      </c>
      <c r="M24" s="228"/>
      <c r="N24" s="228"/>
      <c r="O24" s="229"/>
      <c r="P24" s="227" t="s">
        <v>37</v>
      </c>
      <c r="Q24" s="228"/>
      <c r="R24" s="228"/>
      <c r="S24" s="229"/>
      <c r="T24" s="312"/>
    </row>
    <row r="25" spans="1:20" ht="10.5" customHeight="1" x14ac:dyDescent="0.2">
      <c r="A25" s="223" t="s">
        <v>50</v>
      </c>
      <c r="B25" s="373" t="s">
        <v>51</v>
      </c>
      <c r="C25" s="22" t="s">
        <v>52</v>
      </c>
      <c r="D25" s="225">
        <v>40</v>
      </c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310">
        <f>(D25+H25+L25+P25+D26+H26+L26+P26)/4</f>
        <v>10</v>
      </c>
    </row>
    <row r="26" spans="1:20" ht="10.5" customHeight="1" x14ac:dyDescent="0.2">
      <c r="A26" s="223"/>
      <c r="B26" s="374"/>
      <c r="C26" s="23" t="s">
        <v>178</v>
      </c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310"/>
    </row>
    <row r="27" spans="1:20" ht="10.5" customHeight="1" x14ac:dyDescent="0.2">
      <c r="A27" s="223" t="s">
        <v>54</v>
      </c>
      <c r="B27" s="331" t="s">
        <v>55</v>
      </c>
      <c r="C27" s="23" t="s">
        <v>56</v>
      </c>
      <c r="D27" s="225">
        <v>40</v>
      </c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310">
        <f>(D27+H27+L27+P27+D28+H28+L28+P28)/4</f>
        <v>10</v>
      </c>
    </row>
    <row r="28" spans="1:20" ht="10.5" customHeight="1" x14ac:dyDescent="0.2">
      <c r="A28" s="223"/>
      <c r="B28" s="331"/>
      <c r="C28" s="23" t="s">
        <v>178</v>
      </c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310"/>
    </row>
    <row r="29" spans="1:20" ht="10.5" customHeight="1" x14ac:dyDescent="0.2">
      <c r="A29" s="223" t="s">
        <v>57</v>
      </c>
      <c r="B29" s="331" t="s">
        <v>58</v>
      </c>
      <c r="C29" s="13" t="s">
        <v>59</v>
      </c>
      <c r="D29" s="225">
        <v>40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310">
        <f>(D29+H29+L29+P29+D30+H30+L30+P30)/4</f>
        <v>10</v>
      </c>
    </row>
    <row r="30" spans="1:20" ht="10.5" customHeight="1" x14ac:dyDescent="0.2">
      <c r="A30" s="292"/>
      <c r="B30" s="375"/>
      <c r="C30" s="24" t="s">
        <v>179</v>
      </c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310"/>
    </row>
    <row r="31" spans="1:20" ht="10.5" customHeight="1" x14ac:dyDescent="0.2">
      <c r="A31" s="243" t="s">
        <v>61</v>
      </c>
      <c r="B31" s="325" t="s">
        <v>62</v>
      </c>
      <c r="C31" s="26" t="s">
        <v>63</v>
      </c>
      <c r="D31" s="225">
        <v>40</v>
      </c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313">
        <f>(D31+H31+L31+P31+D32+H32+L32+P32+D33+H33+L33+P33)/4</f>
        <v>10</v>
      </c>
    </row>
    <row r="32" spans="1:20" ht="10.5" customHeight="1" x14ac:dyDescent="0.2">
      <c r="A32" s="223"/>
      <c r="B32" s="331"/>
      <c r="C32" s="27" t="s">
        <v>180</v>
      </c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313"/>
    </row>
    <row r="33" spans="1:20" ht="10.5" customHeight="1" x14ac:dyDescent="0.2">
      <c r="A33" s="244"/>
      <c r="B33" s="326"/>
      <c r="C33" s="29" t="s">
        <v>181</v>
      </c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313"/>
    </row>
    <row r="34" spans="1:20" ht="18.75" customHeight="1" x14ac:dyDescent="0.2">
      <c r="A34" s="230" t="s">
        <v>66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2"/>
      <c r="T34" s="64">
        <f>T25+T27+T29+T31</f>
        <v>40</v>
      </c>
    </row>
    <row r="35" spans="1:20" ht="25.5" customHeight="1" x14ac:dyDescent="0.2">
      <c r="A35" s="233" t="s">
        <v>67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65">
        <f>T16+T22+T34</f>
        <v>122</v>
      </c>
    </row>
    <row r="36" spans="1:20" ht="18.75" customHeight="1" x14ac:dyDescent="0.2">
      <c r="A36" s="30" t="s">
        <v>182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6"/>
    </row>
    <row r="37" spans="1:20" ht="15" customHeight="1" x14ac:dyDescent="0.2">
      <c r="A37" s="32" t="s">
        <v>183</v>
      </c>
      <c r="B37" s="33"/>
      <c r="C37" s="33"/>
      <c r="D37" s="33"/>
      <c r="E37" s="33"/>
      <c r="F37" s="33"/>
      <c r="G37" s="33"/>
      <c r="H37" s="33"/>
      <c r="I37" s="33"/>
      <c r="J37" s="235" t="s">
        <v>184</v>
      </c>
      <c r="K37" s="235"/>
      <c r="L37" s="235"/>
      <c r="M37" s="235"/>
      <c r="N37" s="235"/>
      <c r="O37" s="236"/>
      <c r="P37" s="49" t="s">
        <v>185</v>
      </c>
      <c r="Q37" s="49" t="s">
        <v>186</v>
      </c>
      <c r="R37" s="67" t="s">
        <v>187</v>
      </c>
      <c r="S37" s="49" t="s">
        <v>188</v>
      </c>
      <c r="T37" s="68" t="s">
        <v>165</v>
      </c>
    </row>
    <row r="38" spans="1:20" ht="10.5" customHeight="1" x14ac:dyDescent="0.2">
      <c r="A38" s="293" t="s">
        <v>71</v>
      </c>
      <c r="B38" s="349" t="s">
        <v>189</v>
      </c>
      <c r="C38" s="240"/>
      <c r="D38" s="240"/>
      <c r="E38" s="240"/>
      <c r="F38" s="240"/>
      <c r="G38" s="240"/>
      <c r="H38" s="240"/>
      <c r="I38" s="240"/>
      <c r="J38" s="237" t="s">
        <v>190</v>
      </c>
      <c r="K38" s="237"/>
      <c r="L38" s="237"/>
      <c r="M38" s="237"/>
      <c r="N38" s="237"/>
      <c r="O38" s="237"/>
      <c r="P38" s="50">
        <v>250</v>
      </c>
      <c r="Q38" s="50"/>
      <c r="R38" s="50"/>
      <c r="S38" s="50"/>
      <c r="T38" s="69">
        <f>P38+Q38+R38+S38/4</f>
        <v>250</v>
      </c>
    </row>
    <row r="39" spans="1:20" ht="10.5" customHeight="1" x14ac:dyDescent="0.2">
      <c r="A39" s="294"/>
      <c r="B39" s="350"/>
      <c r="C39" s="350"/>
      <c r="D39" s="350"/>
      <c r="E39" s="350"/>
      <c r="F39" s="350"/>
      <c r="G39" s="350"/>
      <c r="H39" s="350"/>
      <c r="I39" s="350"/>
      <c r="J39" s="238" t="s">
        <v>191</v>
      </c>
      <c r="K39" s="238"/>
      <c r="L39" s="238"/>
      <c r="M39" s="238"/>
      <c r="N39" s="238"/>
      <c r="O39" s="238"/>
      <c r="P39" s="51">
        <v>100</v>
      </c>
      <c r="Q39" s="51"/>
      <c r="R39" s="51"/>
      <c r="S39" s="51"/>
      <c r="T39" s="69">
        <f t="shared" ref="T39:T43" si="1">P39+Q39+R39+S39/4</f>
        <v>100</v>
      </c>
    </row>
    <row r="40" spans="1:20" ht="10.5" customHeight="1" x14ac:dyDescent="0.2">
      <c r="A40" s="294"/>
      <c r="B40" s="350"/>
      <c r="C40" s="350"/>
      <c r="D40" s="350"/>
      <c r="E40" s="350"/>
      <c r="F40" s="350"/>
      <c r="G40" s="350"/>
      <c r="H40" s="350"/>
      <c r="I40" s="350"/>
      <c r="J40" s="238" t="s">
        <v>192</v>
      </c>
      <c r="K40" s="238"/>
      <c r="L40" s="238"/>
      <c r="M40" s="238"/>
      <c r="N40" s="238"/>
      <c r="O40" s="238"/>
      <c r="P40" s="51"/>
      <c r="Q40" s="51"/>
      <c r="R40" s="51"/>
      <c r="S40" s="51"/>
      <c r="T40" s="69">
        <f t="shared" si="1"/>
        <v>0</v>
      </c>
    </row>
    <row r="41" spans="1:20" ht="10.5" customHeight="1" x14ac:dyDescent="0.2">
      <c r="A41" s="294"/>
      <c r="B41" s="350"/>
      <c r="C41" s="350"/>
      <c r="D41" s="350"/>
      <c r="E41" s="350"/>
      <c r="F41" s="350"/>
      <c r="G41" s="350"/>
      <c r="H41" s="350"/>
      <c r="I41" s="350"/>
      <c r="J41" s="238" t="s">
        <v>193</v>
      </c>
      <c r="K41" s="238"/>
      <c r="L41" s="238"/>
      <c r="M41" s="238"/>
      <c r="N41" s="238"/>
      <c r="O41" s="238"/>
      <c r="P41" s="51"/>
      <c r="Q41" s="51"/>
      <c r="R41" s="51"/>
      <c r="S41" s="51"/>
      <c r="T41" s="69">
        <f t="shared" si="1"/>
        <v>0</v>
      </c>
    </row>
    <row r="42" spans="1:20" ht="10.5" customHeight="1" x14ac:dyDescent="0.2">
      <c r="A42" s="294"/>
      <c r="B42" s="350"/>
      <c r="C42" s="350"/>
      <c r="D42" s="350"/>
      <c r="E42" s="350"/>
      <c r="F42" s="350"/>
      <c r="G42" s="350"/>
      <c r="H42" s="350"/>
      <c r="I42" s="350"/>
      <c r="J42" s="238" t="s">
        <v>194</v>
      </c>
      <c r="K42" s="238"/>
      <c r="L42" s="238"/>
      <c r="M42" s="238"/>
      <c r="N42" s="238"/>
      <c r="O42" s="238"/>
      <c r="P42" s="51"/>
      <c r="Q42" s="51"/>
      <c r="R42" s="51"/>
      <c r="S42" s="51"/>
      <c r="T42" s="69">
        <f t="shared" si="1"/>
        <v>0</v>
      </c>
    </row>
    <row r="43" spans="1:20" ht="17.25" customHeight="1" x14ac:dyDescent="0.2">
      <c r="A43" s="295"/>
      <c r="B43" s="351"/>
      <c r="C43" s="351"/>
      <c r="D43" s="351"/>
      <c r="E43" s="351"/>
      <c r="F43" s="351"/>
      <c r="G43" s="351"/>
      <c r="H43" s="351"/>
      <c r="I43" s="351"/>
      <c r="J43" s="239" t="s">
        <v>195</v>
      </c>
      <c r="K43" s="239"/>
      <c r="L43" s="239"/>
      <c r="M43" s="239"/>
      <c r="N43" s="239"/>
      <c r="O43" s="239"/>
      <c r="P43" s="52"/>
      <c r="Q43" s="52"/>
      <c r="R43" s="52"/>
      <c r="S43" s="52"/>
      <c r="T43" s="69">
        <f t="shared" si="1"/>
        <v>0</v>
      </c>
    </row>
    <row r="44" spans="1:20" ht="16.5" customHeight="1" x14ac:dyDescent="0.2">
      <c r="A44" s="34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53"/>
      <c r="M44" s="53"/>
      <c r="N44" s="53"/>
      <c r="O44" s="54"/>
      <c r="P44" s="55"/>
      <c r="Q44" s="55"/>
      <c r="R44" s="55"/>
      <c r="S44" s="55"/>
      <c r="T44" s="70">
        <f>T38+T39+T40+T41+T42+T43</f>
        <v>350</v>
      </c>
    </row>
    <row r="45" spans="1:20" ht="11.25" customHeight="1" x14ac:dyDescent="0.2">
      <c r="A45" s="243" t="s">
        <v>79</v>
      </c>
      <c r="B45" s="226" t="s">
        <v>80</v>
      </c>
      <c r="C45" s="220"/>
      <c r="D45" s="220"/>
      <c r="E45" s="220"/>
      <c r="F45" s="220"/>
      <c r="G45" s="220"/>
      <c r="H45" s="220"/>
      <c r="I45" s="220"/>
      <c r="J45" s="237" t="s">
        <v>94</v>
      </c>
      <c r="K45" s="237"/>
      <c r="L45" s="237"/>
      <c r="M45" s="237"/>
      <c r="N45" s="237"/>
      <c r="O45" s="237"/>
      <c r="P45" s="50"/>
      <c r="Q45" s="50"/>
      <c r="R45" s="50"/>
      <c r="S45" s="50"/>
      <c r="T45" s="69">
        <f>P45+Q45+R45+S45</f>
        <v>0</v>
      </c>
    </row>
    <row r="46" spans="1:20" ht="11.25" customHeight="1" x14ac:dyDescent="0.2">
      <c r="A46" s="223"/>
      <c r="B46" s="216"/>
      <c r="C46" s="216"/>
      <c r="D46" s="216"/>
      <c r="E46" s="216"/>
      <c r="F46" s="216"/>
      <c r="G46" s="216"/>
      <c r="H46" s="216"/>
      <c r="I46" s="216"/>
      <c r="J46" s="238" t="s">
        <v>196</v>
      </c>
      <c r="K46" s="238"/>
      <c r="L46" s="238"/>
      <c r="M46" s="238"/>
      <c r="N46" s="238"/>
      <c r="O46" s="238"/>
      <c r="P46" s="51"/>
      <c r="Q46" s="51"/>
      <c r="R46" s="51"/>
      <c r="S46" s="51"/>
      <c r="T46" s="69">
        <f t="shared" ref="T46:T49" si="2">P46+Q46+R46+S46</f>
        <v>0</v>
      </c>
    </row>
    <row r="47" spans="1:20" ht="11.25" customHeight="1" x14ac:dyDescent="0.2">
      <c r="A47" s="223"/>
      <c r="B47" s="216"/>
      <c r="C47" s="216"/>
      <c r="D47" s="216"/>
      <c r="E47" s="216"/>
      <c r="F47" s="216"/>
      <c r="G47" s="216"/>
      <c r="H47" s="216"/>
      <c r="I47" s="216"/>
      <c r="J47" s="238" t="s">
        <v>197</v>
      </c>
      <c r="K47" s="238"/>
      <c r="L47" s="238"/>
      <c r="M47" s="238"/>
      <c r="N47" s="238"/>
      <c r="O47" s="238"/>
      <c r="P47" s="51"/>
      <c r="Q47" s="51"/>
      <c r="R47" s="51"/>
      <c r="S47" s="51"/>
      <c r="T47" s="69">
        <f t="shared" si="2"/>
        <v>0</v>
      </c>
    </row>
    <row r="48" spans="1:20" ht="11.25" customHeight="1" x14ac:dyDescent="0.2">
      <c r="A48" s="223"/>
      <c r="B48" s="216"/>
      <c r="C48" s="216"/>
      <c r="D48" s="216"/>
      <c r="E48" s="216"/>
      <c r="F48" s="216"/>
      <c r="G48" s="216"/>
      <c r="H48" s="216"/>
      <c r="I48" s="216"/>
      <c r="J48" s="238" t="s">
        <v>198</v>
      </c>
      <c r="K48" s="238"/>
      <c r="L48" s="238"/>
      <c r="M48" s="238"/>
      <c r="N48" s="238"/>
      <c r="O48" s="238"/>
      <c r="P48" s="51"/>
      <c r="Q48" s="51"/>
      <c r="R48" s="51"/>
      <c r="S48" s="51"/>
      <c r="T48" s="69">
        <f t="shared" si="2"/>
        <v>0</v>
      </c>
    </row>
    <row r="49" spans="1:20" ht="11.25" customHeight="1" x14ac:dyDescent="0.2">
      <c r="A49" s="223"/>
      <c r="B49" s="216"/>
      <c r="C49" s="216"/>
      <c r="D49" s="216"/>
      <c r="E49" s="216"/>
      <c r="F49" s="216"/>
      <c r="G49" s="216"/>
      <c r="H49" s="216"/>
      <c r="I49" s="216"/>
      <c r="J49" s="238" t="s">
        <v>199</v>
      </c>
      <c r="K49" s="238"/>
      <c r="L49" s="238"/>
      <c r="M49" s="238"/>
      <c r="N49" s="238"/>
      <c r="O49" s="238"/>
      <c r="P49" s="51"/>
      <c r="Q49" s="51"/>
      <c r="R49" s="51"/>
      <c r="S49" s="51"/>
      <c r="T49" s="69">
        <f t="shared" si="2"/>
        <v>0</v>
      </c>
    </row>
    <row r="50" spans="1:20" ht="18.75" customHeight="1" x14ac:dyDescent="0.2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56"/>
      <c r="M50" s="56"/>
      <c r="N50" s="56"/>
      <c r="O50" s="56"/>
      <c r="P50" s="57"/>
      <c r="Q50" s="55"/>
      <c r="R50" s="55"/>
      <c r="S50" s="71"/>
      <c r="T50" s="72">
        <f>T45+T46+T47+T48+T49</f>
        <v>0</v>
      </c>
    </row>
    <row r="51" spans="1:20" ht="18.75" customHeight="1" x14ac:dyDescent="0.2">
      <c r="A51" s="243" t="s">
        <v>81</v>
      </c>
      <c r="B51" s="226" t="s">
        <v>82</v>
      </c>
      <c r="C51" s="220"/>
      <c r="D51" s="220"/>
      <c r="E51" s="220"/>
      <c r="F51" s="220"/>
      <c r="G51" s="220"/>
      <c r="H51" s="220"/>
      <c r="I51" s="220"/>
      <c r="J51" s="237" t="s">
        <v>94</v>
      </c>
      <c r="K51" s="237"/>
      <c r="L51" s="237"/>
      <c r="M51" s="237"/>
      <c r="N51" s="237"/>
      <c r="O51" s="237"/>
      <c r="P51" s="50"/>
      <c r="Q51" s="50"/>
      <c r="R51" s="50"/>
      <c r="S51" s="50"/>
      <c r="T51" s="69">
        <f>P51+Q51+R51+S51</f>
        <v>0</v>
      </c>
    </row>
    <row r="52" spans="1:20" ht="18.75" customHeight="1" x14ac:dyDescent="0.2">
      <c r="A52" s="223"/>
      <c r="B52" s="216"/>
      <c r="C52" s="216"/>
      <c r="D52" s="216"/>
      <c r="E52" s="216"/>
      <c r="F52" s="216"/>
      <c r="G52" s="216"/>
      <c r="H52" s="216"/>
      <c r="I52" s="216"/>
      <c r="J52" s="238" t="s">
        <v>196</v>
      </c>
      <c r="K52" s="238"/>
      <c r="L52" s="238"/>
      <c r="M52" s="238"/>
      <c r="N52" s="238"/>
      <c r="O52" s="238"/>
      <c r="P52" s="51"/>
      <c r="Q52" s="51"/>
      <c r="R52" s="51"/>
      <c r="S52" s="51"/>
      <c r="T52" s="69">
        <f t="shared" ref="T52:T55" si="3">P52+Q52+R52+S52</f>
        <v>0</v>
      </c>
    </row>
    <row r="53" spans="1:20" ht="18.75" customHeight="1" x14ac:dyDescent="0.2">
      <c r="A53" s="223"/>
      <c r="B53" s="216"/>
      <c r="C53" s="216"/>
      <c r="D53" s="216"/>
      <c r="E53" s="216"/>
      <c r="F53" s="216"/>
      <c r="G53" s="216"/>
      <c r="H53" s="216"/>
      <c r="I53" s="216"/>
      <c r="J53" s="238" t="s">
        <v>197</v>
      </c>
      <c r="K53" s="238"/>
      <c r="L53" s="238"/>
      <c r="M53" s="238"/>
      <c r="N53" s="238"/>
      <c r="O53" s="238"/>
      <c r="P53" s="51"/>
      <c r="Q53" s="51"/>
      <c r="R53" s="51"/>
      <c r="S53" s="51"/>
      <c r="T53" s="69">
        <f t="shared" si="3"/>
        <v>0</v>
      </c>
    </row>
    <row r="54" spans="1:20" ht="18.75" customHeight="1" x14ac:dyDescent="0.2">
      <c r="A54" s="223"/>
      <c r="B54" s="216"/>
      <c r="C54" s="216"/>
      <c r="D54" s="216"/>
      <c r="E54" s="216"/>
      <c r="F54" s="216"/>
      <c r="G54" s="216"/>
      <c r="H54" s="216"/>
      <c r="I54" s="216"/>
      <c r="J54" s="238" t="s">
        <v>198</v>
      </c>
      <c r="K54" s="238"/>
      <c r="L54" s="238"/>
      <c r="M54" s="238"/>
      <c r="N54" s="238"/>
      <c r="O54" s="238"/>
      <c r="P54" s="51"/>
      <c r="Q54" s="51"/>
      <c r="R54" s="51"/>
      <c r="S54" s="51"/>
      <c r="T54" s="69">
        <f t="shared" si="3"/>
        <v>0</v>
      </c>
    </row>
    <row r="55" spans="1:20" ht="18.75" customHeight="1" x14ac:dyDescent="0.2">
      <c r="A55" s="223"/>
      <c r="B55" s="216"/>
      <c r="C55" s="216"/>
      <c r="D55" s="216"/>
      <c r="E55" s="216"/>
      <c r="F55" s="216"/>
      <c r="G55" s="216"/>
      <c r="H55" s="216"/>
      <c r="I55" s="216"/>
      <c r="J55" s="238" t="s">
        <v>199</v>
      </c>
      <c r="K55" s="238"/>
      <c r="L55" s="238"/>
      <c r="M55" s="238"/>
      <c r="N55" s="238"/>
      <c r="O55" s="238"/>
      <c r="P55" s="51"/>
      <c r="Q55" s="51"/>
      <c r="R55" s="51"/>
      <c r="S55" s="51"/>
      <c r="T55" s="69">
        <f t="shared" si="3"/>
        <v>0</v>
      </c>
    </row>
    <row r="56" spans="1:20" ht="18.75" customHeight="1" x14ac:dyDescent="0.2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56"/>
      <c r="M56" s="56"/>
      <c r="N56" s="56"/>
      <c r="O56" s="56"/>
      <c r="P56" s="57"/>
      <c r="Q56" s="55"/>
      <c r="R56" s="55"/>
      <c r="S56" s="71"/>
      <c r="T56" s="72">
        <f>T51+T52+T53+T54+T55</f>
        <v>0</v>
      </c>
    </row>
    <row r="57" spans="1:20" ht="9.75" customHeight="1" x14ac:dyDescent="0.2">
      <c r="A57" s="243" t="s">
        <v>83</v>
      </c>
      <c r="B57" s="255" t="s">
        <v>200</v>
      </c>
      <c r="C57" s="255"/>
      <c r="D57" s="255"/>
      <c r="E57" s="255"/>
      <c r="F57" s="255"/>
      <c r="G57" s="255"/>
      <c r="H57" s="255"/>
      <c r="I57" s="255"/>
      <c r="J57" s="237" t="s">
        <v>201</v>
      </c>
      <c r="K57" s="237"/>
      <c r="L57" s="237"/>
      <c r="M57" s="237"/>
      <c r="N57" s="237"/>
      <c r="O57" s="237"/>
      <c r="P57" s="50"/>
      <c r="Q57" s="50"/>
      <c r="R57" s="50"/>
      <c r="S57" s="50"/>
      <c r="T57" s="69">
        <f>P57+Q57+R57+S57</f>
        <v>0</v>
      </c>
    </row>
    <row r="58" spans="1:20" ht="9.75" customHeight="1" x14ac:dyDescent="0.2">
      <c r="A58" s="223"/>
      <c r="B58" s="219"/>
      <c r="C58" s="219"/>
      <c r="D58" s="219"/>
      <c r="E58" s="219"/>
      <c r="F58" s="219"/>
      <c r="G58" s="219"/>
      <c r="H58" s="219"/>
      <c r="I58" s="219"/>
      <c r="J58" s="238" t="s">
        <v>202</v>
      </c>
      <c r="K58" s="238"/>
      <c r="L58" s="238"/>
      <c r="M58" s="238"/>
      <c r="N58" s="238"/>
      <c r="O58" s="238"/>
      <c r="P58" s="51">
        <v>5</v>
      </c>
      <c r="Q58" s="51"/>
      <c r="R58" s="51"/>
      <c r="S58" s="51"/>
      <c r="T58" s="69">
        <f t="shared" ref="T58:T61" si="4">P58+Q58+R58+S58</f>
        <v>5</v>
      </c>
    </row>
    <row r="59" spans="1:20" ht="9.75" customHeight="1" x14ac:dyDescent="0.2">
      <c r="A59" s="223"/>
      <c r="B59" s="219"/>
      <c r="C59" s="219"/>
      <c r="D59" s="219"/>
      <c r="E59" s="219"/>
      <c r="F59" s="219"/>
      <c r="G59" s="219"/>
      <c r="H59" s="219"/>
      <c r="I59" s="219"/>
      <c r="J59" s="238" t="s">
        <v>203</v>
      </c>
      <c r="K59" s="238"/>
      <c r="L59" s="238"/>
      <c r="M59" s="238"/>
      <c r="N59" s="238"/>
      <c r="O59" s="238"/>
      <c r="P59" s="51">
        <v>30</v>
      </c>
      <c r="Q59" s="51">
        <v>40</v>
      </c>
      <c r="R59" s="51"/>
      <c r="S59" s="51"/>
      <c r="T59" s="69">
        <f t="shared" si="4"/>
        <v>70</v>
      </c>
    </row>
    <row r="60" spans="1:20" ht="9.75" customHeight="1" x14ac:dyDescent="0.2">
      <c r="A60" s="223"/>
      <c r="B60" s="219"/>
      <c r="C60" s="219"/>
      <c r="D60" s="219"/>
      <c r="E60" s="219"/>
      <c r="F60" s="219"/>
      <c r="G60" s="219"/>
      <c r="H60" s="219"/>
      <c r="I60" s="219"/>
      <c r="J60" s="238" t="s">
        <v>204</v>
      </c>
      <c r="K60" s="238"/>
      <c r="L60" s="238"/>
      <c r="M60" s="238"/>
      <c r="N60" s="238"/>
      <c r="O60" s="238"/>
      <c r="P60" s="51"/>
      <c r="Q60" s="51"/>
      <c r="R60" s="51"/>
      <c r="S60" s="51"/>
      <c r="T60" s="69">
        <f t="shared" si="4"/>
        <v>0</v>
      </c>
    </row>
    <row r="61" spans="1:20" ht="78" customHeight="1" x14ac:dyDescent="0.2">
      <c r="A61" s="244"/>
      <c r="B61" s="256"/>
      <c r="C61" s="256"/>
      <c r="D61" s="256"/>
      <c r="E61" s="256"/>
      <c r="F61" s="256"/>
      <c r="G61" s="256"/>
      <c r="H61" s="256"/>
      <c r="I61" s="256"/>
      <c r="J61" s="245" t="s">
        <v>205</v>
      </c>
      <c r="K61" s="245"/>
      <c r="L61" s="245"/>
      <c r="M61" s="245"/>
      <c r="N61" s="245"/>
      <c r="O61" s="245"/>
      <c r="P61" s="52"/>
      <c r="Q61" s="52"/>
      <c r="R61" s="52"/>
      <c r="S61" s="52"/>
      <c r="T61" s="69">
        <f t="shared" si="4"/>
        <v>0</v>
      </c>
    </row>
    <row r="62" spans="1:20" ht="16.5" customHeight="1" x14ac:dyDescent="0.2">
      <c r="A62" s="3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56"/>
      <c r="M62" s="56"/>
      <c r="N62" s="56"/>
      <c r="O62" s="56"/>
      <c r="P62" s="57"/>
      <c r="Q62" s="55"/>
      <c r="R62" s="55"/>
      <c r="S62" s="71"/>
      <c r="T62" s="73">
        <f>T57+T58+T59+T61</f>
        <v>75</v>
      </c>
    </row>
    <row r="63" spans="1:20" ht="18" customHeight="1" x14ac:dyDescent="0.2">
      <c r="A63" s="243" t="s">
        <v>89</v>
      </c>
      <c r="B63" s="249" t="s">
        <v>88</v>
      </c>
      <c r="C63" s="250"/>
      <c r="D63" s="250"/>
      <c r="E63" s="250"/>
      <c r="F63" s="250"/>
      <c r="G63" s="250"/>
      <c r="H63" s="250"/>
      <c r="I63" s="250"/>
      <c r="J63" s="237" t="s">
        <v>206</v>
      </c>
      <c r="K63" s="237"/>
      <c r="L63" s="237"/>
      <c r="M63" s="237"/>
      <c r="N63" s="237"/>
      <c r="O63" s="237"/>
      <c r="P63" s="50">
        <v>3</v>
      </c>
      <c r="Q63" s="50"/>
      <c r="R63" s="50"/>
      <c r="S63" s="50"/>
      <c r="T63" s="74">
        <f>P63+Q63+R63+S63</f>
        <v>3</v>
      </c>
    </row>
    <row r="64" spans="1:20" ht="10.5" customHeight="1" x14ac:dyDescent="0.2">
      <c r="A64" s="223"/>
      <c r="B64" s="251"/>
      <c r="C64" s="252"/>
      <c r="D64" s="252"/>
      <c r="E64" s="252"/>
      <c r="F64" s="252"/>
      <c r="G64" s="252"/>
      <c r="H64" s="252"/>
      <c r="I64" s="252"/>
      <c r="J64" s="238" t="s">
        <v>207</v>
      </c>
      <c r="K64" s="238"/>
      <c r="L64" s="238"/>
      <c r="M64" s="238"/>
      <c r="N64" s="238"/>
      <c r="O64" s="238"/>
      <c r="P64" s="51"/>
      <c r="Q64" s="51"/>
      <c r="R64" s="51"/>
      <c r="S64" s="51"/>
      <c r="T64" s="74">
        <f t="shared" ref="T64:T67" si="5">P64+Q64+R64+S64</f>
        <v>0</v>
      </c>
    </row>
    <row r="65" spans="1:20" ht="10.5" customHeight="1" x14ac:dyDescent="0.2">
      <c r="A65" s="223"/>
      <c r="B65" s="251"/>
      <c r="C65" s="252"/>
      <c r="D65" s="252"/>
      <c r="E65" s="252"/>
      <c r="F65" s="252"/>
      <c r="G65" s="252"/>
      <c r="H65" s="252"/>
      <c r="I65" s="252"/>
      <c r="J65" s="238" t="s">
        <v>208</v>
      </c>
      <c r="K65" s="238"/>
      <c r="L65" s="238"/>
      <c r="M65" s="238"/>
      <c r="N65" s="238"/>
      <c r="O65" s="238"/>
      <c r="P65" s="51"/>
      <c r="Q65" s="51"/>
      <c r="R65" s="51"/>
      <c r="S65" s="51"/>
      <c r="T65" s="74">
        <f t="shared" si="5"/>
        <v>0</v>
      </c>
    </row>
    <row r="66" spans="1:20" ht="10.5" customHeight="1" x14ac:dyDescent="0.2">
      <c r="A66" s="223"/>
      <c r="B66" s="251"/>
      <c r="C66" s="252"/>
      <c r="D66" s="252"/>
      <c r="E66" s="252"/>
      <c r="F66" s="252"/>
      <c r="G66" s="252"/>
      <c r="H66" s="252"/>
      <c r="I66" s="252"/>
      <c r="J66" s="238" t="s">
        <v>209</v>
      </c>
      <c r="K66" s="238"/>
      <c r="L66" s="238"/>
      <c r="M66" s="238"/>
      <c r="N66" s="238"/>
      <c r="O66" s="238"/>
      <c r="P66" s="51"/>
      <c r="Q66" s="51"/>
      <c r="R66" s="51"/>
      <c r="S66" s="51"/>
      <c r="T66" s="74">
        <f t="shared" si="5"/>
        <v>0</v>
      </c>
    </row>
    <row r="67" spans="1:20" ht="13.5" customHeight="1" x14ac:dyDescent="0.2">
      <c r="A67" s="244"/>
      <c r="B67" s="253"/>
      <c r="C67" s="254"/>
      <c r="D67" s="254"/>
      <c r="E67" s="254"/>
      <c r="F67" s="254"/>
      <c r="G67" s="254"/>
      <c r="H67" s="254"/>
      <c r="I67" s="254"/>
      <c r="J67" s="239" t="s">
        <v>210</v>
      </c>
      <c r="K67" s="239"/>
      <c r="L67" s="239"/>
      <c r="M67" s="239"/>
      <c r="N67" s="239"/>
      <c r="O67" s="239"/>
      <c r="P67" s="52"/>
      <c r="Q67" s="52"/>
      <c r="R67" s="52"/>
      <c r="S67" s="52"/>
      <c r="T67" s="74">
        <f t="shared" si="5"/>
        <v>0</v>
      </c>
    </row>
    <row r="68" spans="1:20" ht="21.75" customHeight="1" x14ac:dyDescent="0.2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56"/>
      <c r="M68" s="56"/>
      <c r="N68" s="56"/>
      <c r="O68" s="56"/>
      <c r="P68" s="57"/>
      <c r="Q68" s="55"/>
      <c r="R68" s="55"/>
      <c r="S68" s="71"/>
      <c r="T68" s="114">
        <f>T63+T64+T66+T67</f>
        <v>3</v>
      </c>
    </row>
    <row r="69" spans="1:20" ht="12" customHeight="1" x14ac:dyDescent="0.2">
      <c r="A69" s="243" t="s">
        <v>87</v>
      </c>
      <c r="B69" s="255" t="s">
        <v>90</v>
      </c>
      <c r="C69" s="255"/>
      <c r="D69" s="255"/>
      <c r="E69" s="255"/>
      <c r="F69" s="255"/>
      <c r="G69" s="255"/>
      <c r="H69" s="255"/>
      <c r="I69" s="255"/>
      <c r="J69" s="237" t="s">
        <v>207</v>
      </c>
      <c r="K69" s="237"/>
      <c r="L69" s="237"/>
      <c r="M69" s="237"/>
      <c r="N69" s="237"/>
      <c r="O69" s="237"/>
      <c r="P69" s="50"/>
      <c r="Q69" s="50"/>
      <c r="R69" s="50"/>
      <c r="S69" s="69"/>
      <c r="T69" s="115">
        <f>P69+Q69+R69+S69</f>
        <v>0</v>
      </c>
    </row>
    <row r="70" spans="1:20" ht="12" customHeight="1" x14ac:dyDescent="0.2">
      <c r="A70" s="223"/>
      <c r="B70" s="219"/>
      <c r="C70" s="219"/>
      <c r="D70" s="219"/>
      <c r="E70" s="219"/>
      <c r="F70" s="219"/>
      <c r="G70" s="219"/>
      <c r="H70" s="219"/>
      <c r="I70" s="219"/>
      <c r="J70" s="238" t="s">
        <v>211</v>
      </c>
      <c r="K70" s="238"/>
      <c r="L70" s="238"/>
      <c r="M70" s="238"/>
      <c r="N70" s="238"/>
      <c r="O70" s="238"/>
      <c r="P70" s="16"/>
      <c r="Q70" s="116"/>
      <c r="R70" s="51"/>
      <c r="S70" s="117"/>
      <c r="T70" s="115">
        <f t="shared" ref="T70:T72" si="6">P70+Q70+R70+S70</f>
        <v>0</v>
      </c>
    </row>
    <row r="71" spans="1:20" ht="12" customHeight="1" x14ac:dyDescent="0.2">
      <c r="A71" s="223"/>
      <c r="B71" s="219"/>
      <c r="C71" s="219"/>
      <c r="D71" s="219"/>
      <c r="E71" s="219"/>
      <c r="F71" s="219"/>
      <c r="G71" s="219"/>
      <c r="H71" s="219"/>
      <c r="I71" s="219"/>
      <c r="J71" s="238" t="s">
        <v>203</v>
      </c>
      <c r="K71" s="238"/>
      <c r="L71" s="238"/>
      <c r="M71" s="238"/>
      <c r="N71" s="238"/>
      <c r="O71" s="238"/>
      <c r="P71" s="16"/>
      <c r="Q71" s="116"/>
      <c r="R71" s="51"/>
      <c r="S71" s="117"/>
      <c r="T71" s="115">
        <f t="shared" si="6"/>
        <v>0</v>
      </c>
    </row>
    <row r="72" spans="1:20" ht="12" customHeight="1" x14ac:dyDescent="0.2">
      <c r="A72" s="244"/>
      <c r="B72" s="256"/>
      <c r="C72" s="256"/>
      <c r="D72" s="256"/>
      <c r="E72" s="256"/>
      <c r="F72" s="256"/>
      <c r="G72" s="256"/>
      <c r="H72" s="256"/>
      <c r="I72" s="256"/>
      <c r="J72" s="239" t="s">
        <v>212</v>
      </c>
      <c r="K72" s="239"/>
      <c r="L72" s="239"/>
      <c r="M72" s="239"/>
      <c r="N72" s="239"/>
      <c r="O72" s="239"/>
      <c r="P72" s="96"/>
      <c r="Q72" s="118"/>
      <c r="R72" s="52"/>
      <c r="S72" s="119"/>
      <c r="T72" s="115">
        <f t="shared" si="6"/>
        <v>0</v>
      </c>
    </row>
    <row r="73" spans="1:20" ht="9.75" customHeight="1" x14ac:dyDescent="0.2">
      <c r="A73" s="37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56"/>
      <c r="M73" s="56"/>
      <c r="N73" s="56"/>
      <c r="O73" s="56"/>
      <c r="P73" s="97"/>
      <c r="Q73" s="120"/>
      <c r="R73" s="121"/>
      <c r="S73" s="121"/>
      <c r="T73" s="122">
        <f>T69+T70+T71+T72</f>
        <v>0</v>
      </c>
    </row>
    <row r="74" spans="1:20" ht="21.75" customHeight="1" x14ac:dyDescent="0.2">
      <c r="A74" s="246" t="s">
        <v>213</v>
      </c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8"/>
      <c r="T74" s="123">
        <f>T44+T50+T62+T73</f>
        <v>425</v>
      </c>
    </row>
    <row r="75" spans="1:20" ht="9" customHeight="1" x14ac:dyDescent="0.2">
      <c r="A75" s="364" t="s">
        <v>214</v>
      </c>
      <c r="B75" s="365"/>
      <c r="C75" s="366"/>
      <c r="D75" s="370" t="s">
        <v>14</v>
      </c>
      <c r="E75" s="371"/>
      <c r="F75" s="371"/>
      <c r="G75" s="371"/>
      <c r="H75" s="365"/>
      <c r="I75" s="365"/>
      <c r="J75" s="365"/>
      <c r="K75" s="366"/>
      <c r="L75" s="220" t="s">
        <v>185</v>
      </c>
      <c r="M75" s="220"/>
      <c r="N75" s="226" t="s">
        <v>186</v>
      </c>
      <c r="O75" s="226"/>
      <c r="P75" s="240" t="s">
        <v>187</v>
      </c>
      <c r="Q75" s="240"/>
      <c r="R75" s="241" t="s">
        <v>188</v>
      </c>
      <c r="S75" s="242"/>
      <c r="T75" s="314" t="s">
        <v>215</v>
      </c>
    </row>
    <row r="76" spans="1:20" ht="17.25" customHeight="1" x14ac:dyDescent="0.2">
      <c r="A76" s="367"/>
      <c r="B76" s="368"/>
      <c r="C76" s="369"/>
      <c r="D76" s="372"/>
      <c r="E76" s="368"/>
      <c r="F76" s="368"/>
      <c r="G76" s="368"/>
      <c r="H76" s="368"/>
      <c r="I76" s="368"/>
      <c r="J76" s="368"/>
      <c r="K76" s="369"/>
      <c r="L76" s="47" t="s">
        <v>216</v>
      </c>
      <c r="M76" s="47" t="s">
        <v>217</v>
      </c>
      <c r="N76" s="47" t="s">
        <v>216</v>
      </c>
      <c r="O76" s="47" t="s">
        <v>217</v>
      </c>
      <c r="P76" s="18" t="s">
        <v>216</v>
      </c>
      <c r="Q76" s="18" t="s">
        <v>217</v>
      </c>
      <c r="R76" s="18" t="s">
        <v>216</v>
      </c>
      <c r="S76" s="18" t="s">
        <v>217</v>
      </c>
      <c r="T76" s="315"/>
    </row>
    <row r="77" spans="1:20" ht="11.25" customHeight="1" x14ac:dyDescent="0.2">
      <c r="A77" s="223" t="s">
        <v>71</v>
      </c>
      <c r="B77" s="360" t="s">
        <v>218</v>
      </c>
      <c r="C77" s="361"/>
      <c r="D77" s="209" t="s">
        <v>219</v>
      </c>
      <c r="E77" s="209"/>
      <c r="F77" s="209"/>
      <c r="G77" s="209"/>
      <c r="H77" s="209"/>
      <c r="I77" s="209"/>
      <c r="J77" s="209"/>
      <c r="K77" s="209"/>
      <c r="L77" s="98">
        <v>20</v>
      </c>
      <c r="M77" s="98"/>
      <c r="N77" s="99"/>
      <c r="O77" s="99"/>
      <c r="P77" s="51"/>
      <c r="Q77" s="51"/>
      <c r="R77" s="51"/>
      <c r="S77" s="51"/>
      <c r="T77" s="117">
        <f>L77+M77+N77+O77+P77+Q77+R77+S77</f>
        <v>20</v>
      </c>
    </row>
    <row r="78" spans="1:20" ht="11.25" customHeight="1" x14ac:dyDescent="0.2">
      <c r="A78" s="223"/>
      <c r="B78" s="362"/>
      <c r="C78" s="363"/>
      <c r="D78" s="209" t="s">
        <v>220</v>
      </c>
      <c r="E78" s="209"/>
      <c r="F78" s="209"/>
      <c r="G78" s="209"/>
      <c r="H78" s="209"/>
      <c r="I78" s="209"/>
      <c r="J78" s="209"/>
      <c r="K78" s="209"/>
      <c r="L78" s="98"/>
      <c r="M78" s="98"/>
      <c r="N78" s="99"/>
      <c r="O78" s="99"/>
      <c r="P78" s="51"/>
      <c r="Q78" s="51"/>
      <c r="R78" s="51"/>
      <c r="S78" s="51"/>
      <c r="T78" s="117">
        <f t="shared" ref="T78:T81" si="7">L78+M78+N78+O78+P78+Q78+R78+S78</f>
        <v>0</v>
      </c>
    </row>
    <row r="79" spans="1:20" ht="11.25" customHeight="1" x14ac:dyDescent="0.2">
      <c r="A79" s="223"/>
      <c r="B79" s="362"/>
      <c r="C79" s="363"/>
      <c r="D79" s="209" t="s">
        <v>221</v>
      </c>
      <c r="E79" s="209"/>
      <c r="F79" s="209"/>
      <c r="G79" s="209"/>
      <c r="H79" s="209"/>
      <c r="I79" s="209"/>
      <c r="J79" s="209"/>
      <c r="K79" s="209"/>
      <c r="L79" s="98"/>
      <c r="M79" s="98"/>
      <c r="N79" s="99"/>
      <c r="O79" s="99"/>
      <c r="P79" s="51"/>
      <c r="Q79" s="51"/>
      <c r="R79" s="51"/>
      <c r="S79" s="51"/>
      <c r="T79" s="117">
        <f t="shared" si="7"/>
        <v>0</v>
      </c>
    </row>
    <row r="80" spans="1:20" ht="11.25" customHeight="1" x14ac:dyDescent="0.2">
      <c r="A80" s="223"/>
      <c r="B80" s="362"/>
      <c r="C80" s="363"/>
      <c r="D80" s="209" t="s">
        <v>222</v>
      </c>
      <c r="E80" s="209"/>
      <c r="F80" s="209"/>
      <c r="G80" s="209"/>
      <c r="H80" s="209"/>
      <c r="I80" s="209"/>
      <c r="J80" s="209"/>
      <c r="K80" s="209"/>
      <c r="L80" s="98"/>
      <c r="M80" s="98"/>
      <c r="N80" s="99"/>
      <c r="O80" s="99"/>
      <c r="P80" s="51"/>
      <c r="Q80" s="51"/>
      <c r="R80" s="51"/>
      <c r="S80" s="51"/>
      <c r="T80" s="117">
        <f t="shared" si="7"/>
        <v>0</v>
      </c>
    </row>
    <row r="81" spans="1:20" ht="11.25" customHeight="1" x14ac:dyDescent="0.2">
      <c r="A81" s="223"/>
      <c r="B81" s="362"/>
      <c r="C81" s="363"/>
      <c r="D81" s="219" t="s">
        <v>223</v>
      </c>
      <c r="E81" s="219"/>
      <c r="F81" s="219"/>
      <c r="G81" s="219"/>
      <c r="H81" s="219"/>
      <c r="I81" s="219"/>
      <c r="J81" s="219"/>
      <c r="K81" s="219"/>
      <c r="L81" s="98"/>
      <c r="M81" s="98"/>
      <c r="N81" s="16"/>
      <c r="O81" s="16"/>
      <c r="P81" s="16"/>
      <c r="Q81" s="116"/>
      <c r="R81" s="51"/>
      <c r="S81" s="51"/>
      <c r="T81" s="117">
        <f t="shared" si="7"/>
        <v>0</v>
      </c>
    </row>
    <row r="82" spans="1:20" ht="23.25" customHeight="1" x14ac:dyDescent="0.2">
      <c r="A82" s="76"/>
      <c r="B82" s="77"/>
      <c r="C82" s="78"/>
      <c r="D82" s="40"/>
      <c r="E82" s="41"/>
      <c r="F82" s="41"/>
      <c r="G82" s="41"/>
      <c r="H82" s="41"/>
      <c r="I82" s="41"/>
      <c r="J82" s="41"/>
      <c r="K82" s="41"/>
      <c r="L82" s="41"/>
      <c r="M82" s="100"/>
      <c r="N82" s="97"/>
      <c r="O82" s="97"/>
      <c r="P82" s="97"/>
      <c r="Q82" s="120"/>
      <c r="R82" s="124"/>
      <c r="S82" s="125"/>
      <c r="T82" s="70">
        <f>T77+T78+T79+T80+T81</f>
        <v>20</v>
      </c>
    </row>
    <row r="83" spans="1:20" ht="15" customHeight="1" x14ac:dyDescent="0.2">
      <c r="A83" s="243" t="s">
        <v>79</v>
      </c>
      <c r="B83" s="324" t="s">
        <v>224</v>
      </c>
      <c r="C83" s="325"/>
      <c r="D83" s="298" t="s">
        <v>225</v>
      </c>
      <c r="E83" s="298"/>
      <c r="F83" s="298"/>
      <c r="G83" s="298"/>
      <c r="H83" s="298"/>
      <c r="I83" s="298"/>
      <c r="J83" s="298"/>
      <c r="K83" s="298"/>
      <c r="L83" s="101">
        <v>10</v>
      </c>
      <c r="M83" s="101"/>
      <c r="N83" s="102"/>
      <c r="O83" s="102"/>
      <c r="P83" s="102"/>
      <c r="Q83" s="126"/>
      <c r="R83" s="126"/>
      <c r="S83" s="126"/>
      <c r="T83" s="69">
        <f>L83+M83+N83+O83+P83+Q83+R83+S83</f>
        <v>10</v>
      </c>
    </row>
    <row r="84" spans="1:20" ht="15" customHeight="1" x14ac:dyDescent="0.2">
      <c r="A84" s="223"/>
      <c r="B84" s="331"/>
      <c r="C84" s="331"/>
      <c r="D84" s="209" t="s">
        <v>226</v>
      </c>
      <c r="E84" s="209"/>
      <c r="F84" s="209"/>
      <c r="G84" s="209"/>
      <c r="H84" s="209"/>
      <c r="I84" s="209"/>
      <c r="J84" s="209"/>
      <c r="K84" s="209"/>
      <c r="L84" s="98"/>
      <c r="M84" s="98"/>
      <c r="N84" s="16"/>
      <c r="O84" s="16"/>
      <c r="P84" s="16"/>
      <c r="Q84" s="116"/>
      <c r="R84" s="116"/>
      <c r="S84" s="116"/>
      <c r="T84" s="69">
        <f t="shared" ref="T84:T87" si="8">L84+M84+N84+O84+P84+Q84+R84+S84</f>
        <v>0</v>
      </c>
    </row>
    <row r="85" spans="1:20" ht="15" customHeight="1" x14ac:dyDescent="0.2">
      <c r="A85" s="223"/>
      <c r="B85" s="331"/>
      <c r="C85" s="331"/>
      <c r="D85" s="209" t="s">
        <v>227</v>
      </c>
      <c r="E85" s="209"/>
      <c r="F85" s="209"/>
      <c r="G85" s="209"/>
      <c r="H85" s="209"/>
      <c r="I85" s="209"/>
      <c r="J85" s="209"/>
      <c r="K85" s="209"/>
      <c r="L85" s="98"/>
      <c r="M85" s="98"/>
      <c r="N85" s="16"/>
      <c r="O85" s="16"/>
      <c r="P85" s="16"/>
      <c r="Q85" s="116"/>
      <c r="R85" s="116"/>
      <c r="S85" s="116"/>
      <c r="T85" s="69">
        <f t="shared" si="8"/>
        <v>0</v>
      </c>
    </row>
    <row r="86" spans="1:20" ht="15" customHeight="1" x14ac:dyDescent="0.2">
      <c r="A86" s="223"/>
      <c r="B86" s="331"/>
      <c r="C86" s="331"/>
      <c r="D86" s="209" t="s">
        <v>228</v>
      </c>
      <c r="E86" s="209"/>
      <c r="F86" s="209"/>
      <c r="G86" s="209"/>
      <c r="H86" s="209"/>
      <c r="I86" s="209"/>
      <c r="J86" s="209"/>
      <c r="K86" s="209"/>
      <c r="L86" s="98"/>
      <c r="M86" s="98"/>
      <c r="N86" s="16"/>
      <c r="O86" s="16"/>
      <c r="P86" s="16"/>
      <c r="Q86" s="116"/>
      <c r="R86" s="116"/>
      <c r="S86" s="116"/>
      <c r="T86" s="69">
        <f t="shared" si="8"/>
        <v>0</v>
      </c>
    </row>
    <row r="87" spans="1:20" ht="15" customHeight="1" x14ac:dyDescent="0.2">
      <c r="A87" s="244"/>
      <c r="B87" s="326"/>
      <c r="C87" s="326"/>
      <c r="D87" s="256" t="s">
        <v>229</v>
      </c>
      <c r="E87" s="256"/>
      <c r="F87" s="256"/>
      <c r="G87" s="256"/>
      <c r="H87" s="256"/>
      <c r="I87" s="256"/>
      <c r="J87" s="256"/>
      <c r="K87" s="256"/>
      <c r="L87" s="103"/>
      <c r="M87" s="103"/>
      <c r="N87" s="96"/>
      <c r="O87" s="96"/>
      <c r="P87" s="96"/>
      <c r="Q87" s="118"/>
      <c r="R87" s="118"/>
      <c r="S87" s="118"/>
      <c r="T87" s="69">
        <f t="shared" si="8"/>
        <v>0</v>
      </c>
    </row>
    <row r="88" spans="1:20" ht="19.5" customHeight="1" x14ac:dyDescent="0.2">
      <c r="A88" s="76"/>
      <c r="B88" s="77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97"/>
      <c r="O88" s="97"/>
      <c r="P88" s="97"/>
      <c r="Q88" s="120"/>
      <c r="R88" s="124"/>
      <c r="S88" s="125"/>
      <c r="T88" s="127">
        <f>T83+T84+T85+T86+T87</f>
        <v>10</v>
      </c>
    </row>
    <row r="89" spans="1:20" ht="12" customHeight="1" x14ac:dyDescent="0.2">
      <c r="A89" s="243" t="s">
        <v>81</v>
      </c>
      <c r="B89" s="324" t="s">
        <v>100</v>
      </c>
      <c r="C89" s="324"/>
      <c r="D89" s="298" t="s">
        <v>230</v>
      </c>
      <c r="E89" s="298"/>
      <c r="F89" s="298"/>
      <c r="G89" s="298"/>
      <c r="H89" s="298"/>
      <c r="I89" s="298"/>
      <c r="J89" s="298"/>
      <c r="K89" s="298"/>
      <c r="L89" s="101">
        <v>10</v>
      </c>
      <c r="M89" s="101"/>
      <c r="N89" s="102"/>
      <c r="O89" s="102"/>
      <c r="P89" s="102"/>
      <c r="Q89" s="126"/>
      <c r="R89" s="126"/>
      <c r="S89" s="126"/>
      <c r="T89" s="128">
        <f>L89+M89+N89+O89+P89+Q89+R89+S89</f>
        <v>10</v>
      </c>
    </row>
    <row r="90" spans="1:20" ht="12" customHeight="1" x14ac:dyDescent="0.2">
      <c r="A90" s="223"/>
      <c r="B90" s="224"/>
      <c r="C90" s="224"/>
      <c r="D90" s="209" t="s">
        <v>231</v>
      </c>
      <c r="E90" s="209"/>
      <c r="F90" s="209"/>
      <c r="G90" s="209"/>
      <c r="H90" s="209"/>
      <c r="I90" s="209"/>
      <c r="J90" s="209"/>
      <c r="K90" s="209"/>
      <c r="L90" s="98"/>
      <c r="M90" s="98"/>
      <c r="N90" s="16"/>
      <c r="O90" s="16"/>
      <c r="P90" s="16"/>
      <c r="Q90" s="116"/>
      <c r="R90" s="116"/>
      <c r="S90" s="116"/>
      <c r="T90" s="128">
        <f t="shared" ref="T90:T92" si="9">L90+M90+N90+O90+P90+Q90+R90+S90</f>
        <v>0</v>
      </c>
    </row>
    <row r="91" spans="1:20" ht="12" customHeight="1" x14ac:dyDescent="0.2">
      <c r="A91" s="223"/>
      <c r="B91" s="224"/>
      <c r="C91" s="224"/>
      <c r="D91" s="209" t="s">
        <v>232</v>
      </c>
      <c r="E91" s="209"/>
      <c r="F91" s="209"/>
      <c r="G91" s="209"/>
      <c r="H91" s="209"/>
      <c r="I91" s="209"/>
      <c r="J91" s="209"/>
      <c r="K91" s="209"/>
      <c r="L91" s="98"/>
      <c r="M91" s="98"/>
      <c r="N91" s="16"/>
      <c r="O91" s="16"/>
      <c r="P91" s="16"/>
      <c r="Q91" s="116"/>
      <c r="R91" s="116"/>
      <c r="S91" s="116"/>
      <c r="T91" s="128">
        <f t="shared" si="9"/>
        <v>0</v>
      </c>
    </row>
    <row r="92" spans="1:20" ht="12" customHeight="1" x14ac:dyDescent="0.2">
      <c r="A92" s="244"/>
      <c r="B92" s="359"/>
      <c r="C92" s="359"/>
      <c r="D92" s="286" t="s">
        <v>233</v>
      </c>
      <c r="E92" s="286"/>
      <c r="F92" s="286"/>
      <c r="G92" s="286"/>
      <c r="H92" s="286"/>
      <c r="I92" s="286"/>
      <c r="J92" s="286"/>
      <c r="K92" s="286"/>
      <c r="L92" s="104"/>
      <c r="M92" s="104"/>
      <c r="N92" s="96"/>
      <c r="O92" s="96"/>
      <c r="P92" s="96"/>
      <c r="Q92" s="118"/>
      <c r="R92" s="118"/>
      <c r="S92" s="118"/>
      <c r="T92" s="128">
        <f t="shared" si="9"/>
        <v>0</v>
      </c>
    </row>
    <row r="93" spans="1:20" ht="12" customHeight="1" x14ac:dyDescent="0.2">
      <c r="A93" s="37"/>
      <c r="B93" s="80"/>
      <c r="C93" s="39"/>
      <c r="D93" s="81"/>
      <c r="E93" s="81"/>
      <c r="F93" s="81"/>
      <c r="G93" s="81"/>
      <c r="H93" s="81"/>
      <c r="I93" s="105"/>
      <c r="J93" s="105"/>
      <c r="K93" s="105"/>
      <c r="L93" s="81"/>
      <c r="M93" s="81"/>
      <c r="N93" s="97"/>
      <c r="O93" s="97"/>
      <c r="P93" s="97"/>
      <c r="Q93" s="75"/>
      <c r="R93" s="121"/>
      <c r="S93" s="124"/>
      <c r="T93" s="129">
        <f>T89+T90+T91+T92</f>
        <v>10</v>
      </c>
    </row>
    <row r="94" spans="1:20" ht="12.75" customHeight="1" x14ac:dyDescent="0.2">
      <c r="A94" s="296" t="s">
        <v>87</v>
      </c>
      <c r="B94" s="358" t="s">
        <v>101</v>
      </c>
      <c r="C94" s="358"/>
      <c r="D94" s="298" t="s">
        <v>234</v>
      </c>
      <c r="E94" s="298"/>
      <c r="F94" s="298"/>
      <c r="G94" s="298"/>
      <c r="H94" s="298"/>
      <c r="I94" s="298"/>
      <c r="J94" s="298"/>
      <c r="K94" s="298"/>
      <c r="L94" s="101"/>
      <c r="M94" s="101"/>
      <c r="N94" s="102"/>
      <c r="O94" s="102"/>
      <c r="P94" s="102"/>
      <c r="Q94" s="126"/>
      <c r="R94" s="126"/>
      <c r="S94" s="126"/>
      <c r="T94" s="128">
        <f>L94+M94+N94+O94+P94+Q94+R94+S94</f>
        <v>0</v>
      </c>
    </row>
    <row r="95" spans="1:20" ht="12.75" customHeight="1" x14ac:dyDescent="0.2">
      <c r="A95" s="297"/>
      <c r="B95" s="343"/>
      <c r="C95" s="343"/>
      <c r="D95" s="286"/>
      <c r="E95" s="286"/>
      <c r="F95" s="286"/>
      <c r="G95" s="286"/>
      <c r="H95" s="286"/>
      <c r="I95" s="286"/>
      <c r="J95" s="286"/>
      <c r="K95" s="286"/>
      <c r="L95" s="106"/>
      <c r="M95" s="106"/>
      <c r="N95" s="96"/>
      <c r="O95" s="96"/>
      <c r="P95" s="96"/>
      <c r="Q95" s="118"/>
      <c r="R95" s="118"/>
      <c r="S95" s="118"/>
      <c r="T95" s="130"/>
    </row>
    <row r="96" spans="1:20" ht="0.75" customHeight="1" x14ac:dyDescent="0.2">
      <c r="A96" s="82"/>
      <c r="B96" s="83"/>
      <c r="C96" s="8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97"/>
      <c r="O96" s="97"/>
      <c r="P96" s="97"/>
      <c r="Q96" s="75"/>
      <c r="R96" s="131"/>
      <c r="S96" s="131"/>
      <c r="T96" s="132">
        <f>T94+T95</f>
        <v>0</v>
      </c>
    </row>
    <row r="97" spans="1:20" ht="15.75" customHeight="1" x14ac:dyDescent="0.2">
      <c r="A97" s="85" t="s">
        <v>89</v>
      </c>
      <c r="B97" s="299" t="s">
        <v>102</v>
      </c>
      <c r="C97" s="300"/>
      <c r="D97" s="301" t="s">
        <v>235</v>
      </c>
      <c r="E97" s="301"/>
      <c r="F97" s="301"/>
      <c r="G97" s="301"/>
      <c r="H97" s="301"/>
      <c r="I97" s="301"/>
      <c r="J97" s="301"/>
      <c r="K97" s="301"/>
      <c r="L97" s="107"/>
      <c r="M97" s="107"/>
      <c r="N97" s="108"/>
      <c r="O97" s="108"/>
      <c r="P97" s="108"/>
      <c r="Q97" s="133"/>
      <c r="R97" s="133"/>
      <c r="S97" s="133"/>
      <c r="T97" s="134">
        <f>L97+M97+N97+O97+P97+Q97+R97+S97</f>
        <v>0</v>
      </c>
    </row>
    <row r="98" spans="1:20" ht="12.75" customHeight="1" x14ac:dyDescent="0.2">
      <c r="A98" s="302" t="s">
        <v>236</v>
      </c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89"/>
      <c r="T98" s="134">
        <f>T82+T88+T93+T94+T97</f>
        <v>40</v>
      </c>
    </row>
    <row r="99" spans="1:20" ht="24" customHeight="1" x14ac:dyDescent="0.2">
      <c r="A99" s="304" t="s">
        <v>237</v>
      </c>
      <c r="B99" s="305"/>
      <c r="C99" s="305"/>
      <c r="D99" s="305"/>
      <c r="E99" s="305"/>
      <c r="F99" s="306"/>
      <c r="G99" s="307" t="s">
        <v>184</v>
      </c>
      <c r="H99" s="216"/>
      <c r="I99" s="216"/>
      <c r="J99" s="216"/>
      <c r="K99" s="216"/>
      <c r="L99" s="216"/>
      <c r="M99" s="216"/>
      <c r="N99" s="216"/>
      <c r="O99" s="216"/>
      <c r="P99" s="50" t="s">
        <v>185</v>
      </c>
      <c r="Q99" s="50" t="s">
        <v>186</v>
      </c>
      <c r="R99" s="50" t="s">
        <v>187</v>
      </c>
      <c r="S99" s="50" t="s">
        <v>188</v>
      </c>
      <c r="T99" s="69" t="s">
        <v>165</v>
      </c>
    </row>
    <row r="100" spans="1:20" ht="12" customHeight="1" x14ac:dyDescent="0.2">
      <c r="A100" s="19" t="s">
        <v>238</v>
      </c>
      <c r="B100" s="308" t="s">
        <v>239</v>
      </c>
      <c r="C100" s="257"/>
      <c r="D100" s="257"/>
      <c r="E100" s="257"/>
      <c r="F100" s="257"/>
      <c r="G100" s="257" t="s">
        <v>240</v>
      </c>
      <c r="H100" s="257"/>
      <c r="I100" s="257"/>
      <c r="J100" s="257"/>
      <c r="K100" s="257"/>
      <c r="L100" s="257"/>
      <c r="M100" s="257"/>
      <c r="N100" s="257"/>
      <c r="O100" s="257"/>
      <c r="P100" s="16">
        <v>60</v>
      </c>
      <c r="Q100" s="116"/>
      <c r="R100" s="116"/>
      <c r="S100" s="116"/>
      <c r="T100" s="135">
        <f>P100+Q100+R100+S100</f>
        <v>60</v>
      </c>
    </row>
    <row r="101" spans="1:20" ht="9.75" customHeight="1" x14ac:dyDescent="0.2">
      <c r="A101" s="223" t="s">
        <v>241</v>
      </c>
      <c r="B101" s="262" t="s">
        <v>242</v>
      </c>
      <c r="C101" s="263"/>
      <c r="D101" s="263"/>
      <c r="E101" s="263"/>
      <c r="F101" s="263"/>
      <c r="G101" s="257" t="s">
        <v>243</v>
      </c>
      <c r="H101" s="257"/>
      <c r="I101" s="257"/>
      <c r="J101" s="257"/>
      <c r="K101" s="257"/>
      <c r="L101" s="257"/>
      <c r="M101" s="257"/>
      <c r="N101" s="257"/>
      <c r="O101" s="257"/>
      <c r="P101" s="16"/>
      <c r="Q101" s="116"/>
      <c r="R101" s="116"/>
      <c r="S101" s="116"/>
      <c r="T101" s="135">
        <f t="shared" ref="T101:T103" si="10">P101+Q101+R101+S101</f>
        <v>0</v>
      </c>
    </row>
    <row r="102" spans="1:20" ht="9.75" customHeight="1" x14ac:dyDescent="0.2">
      <c r="A102" s="223"/>
      <c r="B102" s="263"/>
      <c r="C102" s="263"/>
      <c r="D102" s="263"/>
      <c r="E102" s="263"/>
      <c r="F102" s="263"/>
      <c r="G102" s="257" t="s">
        <v>244</v>
      </c>
      <c r="H102" s="257"/>
      <c r="I102" s="257"/>
      <c r="J102" s="257"/>
      <c r="K102" s="257"/>
      <c r="L102" s="257"/>
      <c r="M102" s="257"/>
      <c r="N102" s="257"/>
      <c r="O102" s="257"/>
      <c r="P102" s="16"/>
      <c r="Q102" s="116"/>
      <c r="R102" s="116"/>
      <c r="S102" s="116"/>
      <c r="T102" s="135">
        <f t="shared" si="10"/>
        <v>0</v>
      </c>
    </row>
    <row r="103" spans="1:20" ht="9.75" customHeight="1" x14ac:dyDescent="0.2">
      <c r="A103" s="223"/>
      <c r="B103" s="263"/>
      <c r="C103" s="263"/>
      <c r="D103" s="263"/>
      <c r="E103" s="263"/>
      <c r="F103" s="263"/>
      <c r="G103" s="257" t="s">
        <v>245</v>
      </c>
      <c r="H103" s="257"/>
      <c r="I103" s="257"/>
      <c r="J103" s="257"/>
      <c r="K103" s="257"/>
      <c r="L103" s="257"/>
      <c r="M103" s="257"/>
      <c r="N103" s="257"/>
      <c r="O103" s="257"/>
      <c r="P103" s="16"/>
      <c r="Q103" s="116"/>
      <c r="R103" s="116"/>
      <c r="S103" s="116"/>
      <c r="T103" s="135">
        <f t="shared" si="10"/>
        <v>0</v>
      </c>
    </row>
    <row r="104" spans="1:20" ht="9" customHeight="1" x14ac:dyDescent="0.2">
      <c r="A104" s="19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23"/>
      <c r="M104" s="23"/>
      <c r="N104" s="23"/>
      <c r="O104" s="23"/>
      <c r="P104" s="16"/>
      <c r="Q104" s="116"/>
      <c r="R104" s="136"/>
      <c r="S104" s="136"/>
      <c r="T104" s="137">
        <f>T100+T101+T102+T103</f>
        <v>60</v>
      </c>
    </row>
    <row r="105" spans="1:20" ht="9.75" customHeight="1" x14ac:dyDescent="0.2">
      <c r="A105" s="223" t="s">
        <v>246</v>
      </c>
      <c r="B105" s="262" t="s">
        <v>247</v>
      </c>
      <c r="C105" s="263"/>
      <c r="D105" s="263"/>
      <c r="E105" s="263"/>
      <c r="F105" s="263"/>
      <c r="G105" s="238" t="s">
        <v>248</v>
      </c>
      <c r="H105" s="238"/>
      <c r="I105" s="238"/>
      <c r="J105" s="238"/>
      <c r="K105" s="238"/>
      <c r="L105" s="238"/>
      <c r="M105" s="238"/>
      <c r="N105" s="238"/>
      <c r="O105" s="238"/>
      <c r="P105" s="16"/>
      <c r="Q105" s="116"/>
      <c r="R105" s="116"/>
      <c r="S105" s="116"/>
      <c r="T105" s="135">
        <f>P105+Q105+R105+S105</f>
        <v>0</v>
      </c>
    </row>
    <row r="106" spans="1:20" ht="9.75" customHeight="1" x14ac:dyDescent="0.2">
      <c r="A106" s="223"/>
      <c r="B106" s="263"/>
      <c r="C106" s="263"/>
      <c r="D106" s="263"/>
      <c r="E106" s="263"/>
      <c r="F106" s="263"/>
      <c r="G106" s="238" t="s">
        <v>249</v>
      </c>
      <c r="H106" s="238"/>
      <c r="I106" s="238"/>
      <c r="J106" s="238"/>
      <c r="K106" s="238"/>
      <c r="L106" s="238"/>
      <c r="M106" s="238"/>
      <c r="N106" s="238"/>
      <c r="O106" s="238"/>
      <c r="P106" s="16"/>
      <c r="Q106" s="116"/>
      <c r="R106" s="116"/>
      <c r="S106" s="116"/>
      <c r="T106" s="135">
        <f t="shared" ref="T106:T112" si="11">P106+Q106+R106+S106</f>
        <v>0</v>
      </c>
    </row>
    <row r="107" spans="1:20" ht="9.75" customHeight="1" x14ac:dyDescent="0.2">
      <c r="A107" s="223"/>
      <c r="B107" s="263"/>
      <c r="C107" s="263"/>
      <c r="D107" s="263"/>
      <c r="E107" s="263"/>
      <c r="F107" s="263"/>
      <c r="G107" s="238" t="s">
        <v>250</v>
      </c>
      <c r="H107" s="238"/>
      <c r="I107" s="238"/>
      <c r="J107" s="238"/>
      <c r="K107" s="238"/>
      <c r="L107" s="238"/>
      <c r="M107" s="238"/>
      <c r="N107" s="238"/>
      <c r="O107" s="238"/>
      <c r="P107" s="16">
        <v>30</v>
      </c>
      <c r="Q107" s="116"/>
      <c r="R107" s="116"/>
      <c r="S107" s="116"/>
      <c r="T107" s="135">
        <f t="shared" si="11"/>
        <v>30</v>
      </c>
    </row>
    <row r="108" spans="1:20" ht="9.75" customHeight="1" x14ac:dyDescent="0.2">
      <c r="A108" s="223"/>
      <c r="B108" s="263"/>
      <c r="C108" s="263"/>
      <c r="D108" s="263"/>
      <c r="E108" s="263"/>
      <c r="F108" s="263"/>
      <c r="G108" s="238" t="s">
        <v>251</v>
      </c>
      <c r="H108" s="238"/>
      <c r="I108" s="238"/>
      <c r="J108" s="238"/>
      <c r="K108" s="238"/>
      <c r="L108" s="238"/>
      <c r="M108" s="238"/>
      <c r="N108" s="238"/>
      <c r="O108" s="238"/>
      <c r="P108" s="16">
        <v>50</v>
      </c>
      <c r="Q108" s="116">
        <v>50</v>
      </c>
      <c r="R108" s="116"/>
      <c r="S108" s="116"/>
      <c r="T108" s="135">
        <f t="shared" si="11"/>
        <v>100</v>
      </c>
    </row>
    <row r="109" spans="1:20" ht="9.75" customHeight="1" x14ac:dyDescent="0.2">
      <c r="A109" s="223"/>
      <c r="B109" s="263"/>
      <c r="C109" s="263"/>
      <c r="D109" s="263"/>
      <c r="E109" s="263"/>
      <c r="F109" s="263"/>
      <c r="G109" s="238" t="s">
        <v>252</v>
      </c>
      <c r="H109" s="238"/>
      <c r="I109" s="238"/>
      <c r="J109" s="238"/>
      <c r="K109" s="238"/>
      <c r="L109" s="238"/>
      <c r="M109" s="238"/>
      <c r="N109" s="238"/>
      <c r="O109" s="238"/>
      <c r="P109" s="16"/>
      <c r="Q109" s="116"/>
      <c r="R109" s="116"/>
      <c r="S109" s="116"/>
      <c r="T109" s="135">
        <f t="shared" si="11"/>
        <v>0</v>
      </c>
    </row>
    <row r="110" spans="1:20" ht="9.75" customHeight="1" x14ac:dyDescent="0.2">
      <c r="A110" s="223"/>
      <c r="B110" s="263"/>
      <c r="C110" s="263"/>
      <c r="D110" s="263"/>
      <c r="E110" s="263"/>
      <c r="F110" s="263"/>
      <c r="G110" s="257" t="s">
        <v>253</v>
      </c>
      <c r="H110" s="257"/>
      <c r="I110" s="257"/>
      <c r="J110" s="257"/>
      <c r="K110" s="257"/>
      <c r="L110" s="257"/>
      <c r="M110" s="257"/>
      <c r="N110" s="257"/>
      <c r="O110" s="257"/>
      <c r="P110" s="16"/>
      <c r="Q110" s="116"/>
      <c r="R110" s="116"/>
      <c r="S110" s="116"/>
      <c r="T110" s="135">
        <f t="shared" si="11"/>
        <v>0</v>
      </c>
    </row>
    <row r="111" spans="1:20" ht="9.75" customHeight="1" x14ac:dyDescent="0.2">
      <c r="A111" s="223"/>
      <c r="B111" s="263"/>
      <c r="C111" s="263"/>
      <c r="D111" s="263"/>
      <c r="E111" s="263"/>
      <c r="F111" s="263"/>
      <c r="G111" s="257" t="s">
        <v>254</v>
      </c>
      <c r="H111" s="257"/>
      <c r="I111" s="257"/>
      <c r="J111" s="257"/>
      <c r="K111" s="257"/>
      <c r="L111" s="257"/>
      <c r="M111" s="257"/>
      <c r="N111" s="257"/>
      <c r="O111" s="257"/>
      <c r="P111" s="16"/>
      <c r="Q111" s="116"/>
      <c r="R111" s="116"/>
      <c r="S111" s="116"/>
      <c r="T111" s="135">
        <f t="shared" si="11"/>
        <v>0</v>
      </c>
    </row>
    <row r="112" spans="1:20" ht="9.75" customHeight="1" x14ac:dyDescent="0.2">
      <c r="A112" s="223"/>
      <c r="B112" s="263"/>
      <c r="C112" s="263"/>
      <c r="D112" s="263"/>
      <c r="E112" s="263"/>
      <c r="F112" s="263"/>
      <c r="G112" s="257" t="s">
        <v>255</v>
      </c>
      <c r="H112" s="257"/>
      <c r="I112" s="257"/>
      <c r="J112" s="257"/>
      <c r="K112" s="257"/>
      <c r="L112" s="257"/>
      <c r="M112" s="257"/>
      <c r="N112" s="257"/>
      <c r="O112" s="257"/>
      <c r="P112" s="16"/>
      <c r="Q112" s="116"/>
      <c r="R112" s="116"/>
      <c r="S112" s="116"/>
      <c r="T112" s="135">
        <f t="shared" si="11"/>
        <v>0</v>
      </c>
    </row>
    <row r="113" spans="1:20" ht="12" customHeight="1" x14ac:dyDescent="0.2">
      <c r="A113" s="19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23"/>
      <c r="M113" s="23"/>
      <c r="N113" s="23"/>
      <c r="O113" s="23"/>
      <c r="P113" s="16"/>
      <c r="Q113" s="116"/>
      <c r="R113" s="136"/>
      <c r="S113" s="136"/>
      <c r="T113" s="138">
        <f>T105+T106+T107+T108+T109+T110+T111+T112</f>
        <v>130</v>
      </c>
    </row>
    <row r="114" spans="1:20" ht="15" customHeight="1" x14ac:dyDescent="0.2">
      <c r="A114" s="223" t="s">
        <v>256</v>
      </c>
      <c r="B114" s="332" t="s">
        <v>257</v>
      </c>
      <c r="C114" s="332"/>
      <c r="D114" s="332"/>
      <c r="E114" s="332"/>
      <c r="F114" s="332"/>
      <c r="G114" s="238" t="s">
        <v>258</v>
      </c>
      <c r="H114" s="238"/>
      <c r="I114" s="238"/>
      <c r="J114" s="238"/>
      <c r="K114" s="238"/>
      <c r="L114" s="238"/>
      <c r="M114" s="238"/>
      <c r="N114" s="238"/>
      <c r="O114" s="238"/>
      <c r="P114" s="16"/>
      <c r="Q114" s="116"/>
      <c r="R114" s="116"/>
      <c r="S114" s="116"/>
      <c r="T114" s="135">
        <f>P114+Q114+R114+S114</f>
        <v>0</v>
      </c>
    </row>
    <row r="115" spans="1:20" ht="15" customHeight="1" x14ac:dyDescent="0.2">
      <c r="A115" s="244"/>
      <c r="B115" s="332"/>
      <c r="C115" s="332"/>
      <c r="D115" s="332"/>
      <c r="E115" s="332"/>
      <c r="F115" s="332"/>
      <c r="G115" s="238" t="s">
        <v>259</v>
      </c>
      <c r="H115" s="238"/>
      <c r="I115" s="238"/>
      <c r="J115" s="238"/>
      <c r="K115" s="238"/>
      <c r="L115" s="238"/>
      <c r="M115" s="238"/>
      <c r="N115" s="238"/>
      <c r="O115" s="238"/>
      <c r="P115" s="16"/>
      <c r="Q115" s="116"/>
      <c r="R115" s="116"/>
      <c r="S115" s="116"/>
      <c r="T115" s="139">
        <f>P115+Q115+R115+S116</f>
        <v>0</v>
      </c>
    </row>
    <row r="116" spans="1:20" ht="12" customHeight="1" x14ac:dyDescent="0.2">
      <c r="A116" s="87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109"/>
      <c r="M116" s="109"/>
      <c r="N116" s="109"/>
      <c r="O116" s="109"/>
      <c r="P116" s="110"/>
      <c r="Q116" s="140"/>
      <c r="R116" s="141"/>
      <c r="S116" s="142"/>
      <c r="T116" s="143">
        <f>T114+T115</f>
        <v>0</v>
      </c>
    </row>
    <row r="117" spans="1:20" ht="22.5" customHeight="1" x14ac:dyDescent="0.2">
      <c r="A117" s="258" t="s">
        <v>260</v>
      </c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60"/>
      <c r="T117" s="144">
        <f>T104+T113+T116</f>
        <v>190</v>
      </c>
    </row>
    <row r="118" spans="1:20" ht="15.75" customHeight="1" x14ac:dyDescent="0.2">
      <c r="A118" s="333" t="s">
        <v>261</v>
      </c>
      <c r="B118" s="261"/>
      <c r="C118" s="261"/>
      <c r="D118" s="261" t="s">
        <v>14</v>
      </c>
      <c r="E118" s="261"/>
      <c r="F118" s="261"/>
      <c r="G118" s="261"/>
      <c r="H118" s="261"/>
      <c r="I118" s="261"/>
      <c r="J118" s="261"/>
      <c r="K118" s="261"/>
      <c r="L118" s="261" t="s">
        <v>185</v>
      </c>
      <c r="M118" s="261"/>
      <c r="N118" s="226" t="s">
        <v>186</v>
      </c>
      <c r="O118" s="226"/>
      <c r="P118" s="240" t="s">
        <v>187</v>
      </c>
      <c r="Q118" s="240"/>
      <c r="R118" s="240" t="s">
        <v>188</v>
      </c>
      <c r="S118" s="240"/>
      <c r="T118" s="316" t="s">
        <v>165</v>
      </c>
    </row>
    <row r="119" spans="1:20" ht="18.75" customHeight="1" x14ac:dyDescent="0.2">
      <c r="A119" s="334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99" t="s">
        <v>216</v>
      </c>
      <c r="M119" s="99" t="s">
        <v>217</v>
      </c>
      <c r="N119" s="99" t="s">
        <v>216</v>
      </c>
      <c r="O119" s="99" t="s">
        <v>217</v>
      </c>
      <c r="P119" s="99" t="s">
        <v>216</v>
      </c>
      <c r="Q119" s="99" t="s">
        <v>217</v>
      </c>
      <c r="R119" s="99" t="s">
        <v>216</v>
      </c>
      <c r="S119" s="99" t="s">
        <v>217</v>
      </c>
      <c r="T119" s="315"/>
    </row>
    <row r="120" spans="1:20" ht="40.5" customHeight="1" x14ac:dyDescent="0.2">
      <c r="A120" s="19" t="s">
        <v>238</v>
      </c>
      <c r="B120" s="270" t="s">
        <v>262</v>
      </c>
      <c r="C120" s="271"/>
      <c r="D120" s="272" t="s">
        <v>263</v>
      </c>
      <c r="E120" s="262"/>
      <c r="F120" s="262"/>
      <c r="G120" s="262"/>
      <c r="H120" s="262"/>
      <c r="I120" s="262"/>
      <c r="J120" s="262"/>
      <c r="K120" s="262"/>
      <c r="L120" s="111">
        <v>20</v>
      </c>
      <c r="M120" s="111"/>
      <c r="N120" s="111"/>
      <c r="O120" s="111"/>
      <c r="P120" s="111"/>
      <c r="Q120" s="116"/>
      <c r="R120" s="116"/>
      <c r="S120" s="116"/>
      <c r="T120" s="135">
        <f>L120+M120+N120+O120+P120+Q120+R120+S120</f>
        <v>20</v>
      </c>
    </row>
    <row r="121" spans="1:20" ht="15.75" customHeight="1" x14ac:dyDescent="0.2">
      <c r="A121" s="273" t="s">
        <v>264</v>
      </c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89"/>
      <c r="T121" s="135">
        <f>L120+M120+N120+O120+P120+Q120+R120+S120</f>
        <v>20</v>
      </c>
    </row>
    <row r="122" spans="1:20" ht="17.25" customHeight="1" x14ac:dyDescent="0.2">
      <c r="A122" s="90" t="s">
        <v>265</v>
      </c>
      <c r="B122" s="91"/>
      <c r="C122" s="92"/>
      <c r="D122" s="93"/>
      <c r="E122" s="275" t="s">
        <v>184</v>
      </c>
      <c r="F122" s="276"/>
      <c r="G122" s="276"/>
      <c r="H122" s="276"/>
      <c r="I122" s="276"/>
      <c r="J122" s="276"/>
      <c r="K122" s="276"/>
      <c r="L122" s="276"/>
      <c r="M122" s="276"/>
      <c r="N122" s="276"/>
      <c r="O122" s="277"/>
      <c r="P122" s="49" t="s">
        <v>185</v>
      </c>
      <c r="Q122" s="49" t="s">
        <v>186</v>
      </c>
      <c r="R122" s="49" t="s">
        <v>187</v>
      </c>
      <c r="S122" s="49" t="s">
        <v>188</v>
      </c>
      <c r="T122" s="68" t="s">
        <v>165</v>
      </c>
    </row>
    <row r="123" spans="1:20" ht="12.75" customHeight="1" x14ac:dyDescent="0.2">
      <c r="A123" s="282" t="s">
        <v>71</v>
      </c>
      <c r="B123" s="329" t="s">
        <v>266</v>
      </c>
      <c r="C123" s="330"/>
      <c r="D123" s="330"/>
      <c r="E123" s="278" t="s">
        <v>219</v>
      </c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112"/>
      <c r="Q123" s="145"/>
      <c r="R123" s="145"/>
      <c r="S123" s="145"/>
      <c r="T123" s="146"/>
    </row>
    <row r="124" spans="1:20" ht="12.75" customHeight="1" x14ac:dyDescent="0.2">
      <c r="A124" s="223"/>
      <c r="B124" s="331"/>
      <c r="C124" s="331"/>
      <c r="D124" s="331"/>
      <c r="E124" s="209" t="s">
        <v>267</v>
      </c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98"/>
      <c r="Q124" s="51"/>
      <c r="R124" s="51"/>
      <c r="S124" s="51"/>
      <c r="T124" s="74"/>
    </row>
    <row r="125" spans="1:20" ht="12.75" customHeight="1" x14ac:dyDescent="0.2">
      <c r="A125" s="223"/>
      <c r="B125" s="331"/>
      <c r="C125" s="331"/>
      <c r="D125" s="331"/>
      <c r="E125" s="209" t="s">
        <v>268</v>
      </c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98"/>
      <c r="Q125" s="51"/>
      <c r="R125" s="51"/>
      <c r="S125" s="51"/>
      <c r="T125" s="74"/>
    </row>
    <row r="126" spans="1:20" ht="21" customHeight="1" x14ac:dyDescent="0.2">
      <c r="A126" s="223"/>
      <c r="B126" s="331"/>
      <c r="C126" s="331"/>
      <c r="D126" s="331"/>
      <c r="E126" s="209" t="s">
        <v>269</v>
      </c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98"/>
      <c r="Q126" s="51"/>
      <c r="R126" s="51"/>
      <c r="S126" s="51"/>
      <c r="T126" s="74"/>
    </row>
    <row r="127" spans="1:20" ht="17.25" customHeight="1" x14ac:dyDescent="0.2">
      <c r="A127" s="76"/>
      <c r="B127" s="94"/>
      <c r="C127" s="94"/>
      <c r="D127" s="94"/>
      <c r="E127" s="81"/>
      <c r="F127" s="81"/>
      <c r="G127" s="81"/>
      <c r="H127" s="81"/>
      <c r="I127" s="81"/>
      <c r="J127" s="81"/>
      <c r="K127" s="81"/>
      <c r="L127" s="113"/>
      <c r="M127" s="113"/>
      <c r="N127" s="113"/>
      <c r="O127" s="113"/>
      <c r="P127" s="97">
        <f>P123+P124+P125+P126</f>
        <v>0</v>
      </c>
      <c r="Q127" s="97">
        <f>Q123+Q124+Q125+Q126</f>
        <v>0</v>
      </c>
      <c r="R127" s="97">
        <f>R123+R124+R125+R126</f>
        <v>0</v>
      </c>
      <c r="S127" s="97">
        <f>S123+S124+S125+S126</f>
        <v>0</v>
      </c>
      <c r="T127" s="147">
        <f>P127+Q127+R127+S127</f>
        <v>0</v>
      </c>
    </row>
    <row r="128" spans="1:20" ht="27.75" customHeight="1" x14ac:dyDescent="0.2">
      <c r="A128" s="95"/>
      <c r="B128" s="279" t="s">
        <v>270</v>
      </c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1"/>
      <c r="Q128" s="281"/>
      <c r="R128" s="281"/>
      <c r="S128" s="148"/>
      <c r="T128" s="147">
        <f>P127:T127</f>
        <v>0</v>
      </c>
    </row>
    <row r="129" spans="1:20" ht="51.75" customHeight="1" x14ac:dyDescent="0.2">
      <c r="A129" s="283" t="s">
        <v>271</v>
      </c>
      <c r="B129" s="284"/>
      <c r="C129" s="284"/>
      <c r="D129" s="284"/>
      <c r="E129" s="264" t="s">
        <v>272</v>
      </c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151">
        <v>50</v>
      </c>
      <c r="Q129" s="151">
        <v>50</v>
      </c>
      <c r="R129" s="151">
        <v>50</v>
      </c>
      <c r="S129" s="151"/>
      <c r="T129" s="154">
        <f>P129+Q129+R129+S129</f>
        <v>150</v>
      </c>
    </row>
    <row r="130" spans="1:20" ht="22.5" customHeight="1" x14ac:dyDescent="0.2">
      <c r="A130" s="265" t="s">
        <v>273</v>
      </c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155">
        <f>T74+T98+T117+T121+T128</f>
        <v>675</v>
      </c>
    </row>
    <row r="131" spans="1:20" ht="23.25" customHeight="1" x14ac:dyDescent="0.2">
      <c r="A131" s="267" t="s">
        <v>274</v>
      </c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3"/>
      <c r="T131" s="156"/>
    </row>
    <row r="132" spans="1:20" ht="32.25" customHeight="1" x14ac:dyDescent="0.2">
      <c r="A132" s="327" t="s">
        <v>275</v>
      </c>
      <c r="B132" s="220"/>
      <c r="C132" s="220"/>
      <c r="D132" s="220" t="s">
        <v>184</v>
      </c>
      <c r="E132" s="220"/>
      <c r="F132" s="220"/>
      <c r="G132" s="220"/>
      <c r="H132" s="220"/>
      <c r="I132" s="220"/>
      <c r="J132" s="220"/>
      <c r="K132" s="220"/>
      <c r="L132" s="220" t="s">
        <v>185</v>
      </c>
      <c r="M132" s="220"/>
      <c r="N132" s="226" t="s">
        <v>186</v>
      </c>
      <c r="O132" s="226"/>
      <c r="P132" s="240" t="s">
        <v>187</v>
      </c>
      <c r="Q132" s="240"/>
      <c r="R132" s="240" t="s">
        <v>188</v>
      </c>
      <c r="S132" s="240"/>
      <c r="T132" s="316" t="s">
        <v>165</v>
      </c>
    </row>
    <row r="133" spans="1:20" ht="23.25" customHeight="1" x14ac:dyDescent="0.2">
      <c r="A133" s="328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152" t="s">
        <v>216</v>
      </c>
      <c r="M133" s="152" t="s">
        <v>217</v>
      </c>
      <c r="N133" s="152" t="s">
        <v>216</v>
      </c>
      <c r="O133" s="152" t="s">
        <v>217</v>
      </c>
      <c r="P133" s="152" t="s">
        <v>216</v>
      </c>
      <c r="Q133" s="152" t="s">
        <v>217</v>
      </c>
      <c r="R133" s="152" t="s">
        <v>216</v>
      </c>
      <c r="S133" s="152" t="s">
        <v>217</v>
      </c>
      <c r="T133" s="317"/>
    </row>
    <row r="134" spans="1:20" ht="18.75" customHeight="1" x14ac:dyDescent="0.2">
      <c r="A134" s="243" t="s">
        <v>276</v>
      </c>
      <c r="B134" s="324" t="s">
        <v>277</v>
      </c>
      <c r="C134" s="325"/>
      <c r="D134" s="269" t="s">
        <v>240</v>
      </c>
      <c r="E134" s="269"/>
      <c r="F134" s="269"/>
      <c r="G134" s="269"/>
      <c r="H134" s="269"/>
      <c r="I134" s="269"/>
      <c r="J134" s="269"/>
      <c r="K134" s="269"/>
      <c r="L134" s="102"/>
      <c r="M134" s="102"/>
      <c r="N134" s="102"/>
      <c r="O134" s="102"/>
      <c r="P134" s="102"/>
      <c r="Q134" s="126"/>
      <c r="R134" s="126"/>
      <c r="S134" s="126"/>
      <c r="T134" s="128">
        <f>L134+M134+N134+O134+P134+Q134+R134+S134</f>
        <v>0</v>
      </c>
    </row>
    <row r="135" spans="1:20" ht="18.75" customHeight="1" x14ac:dyDescent="0.2">
      <c r="A135" s="244"/>
      <c r="B135" s="326"/>
      <c r="C135" s="326"/>
      <c r="D135" s="286" t="s">
        <v>278</v>
      </c>
      <c r="E135" s="286"/>
      <c r="F135" s="286"/>
      <c r="G135" s="286"/>
      <c r="H135" s="286"/>
      <c r="I135" s="286"/>
      <c r="J135" s="286"/>
      <c r="K135" s="286"/>
      <c r="L135" s="104"/>
      <c r="M135" s="104"/>
      <c r="N135" s="96"/>
      <c r="O135" s="96"/>
      <c r="P135" s="96"/>
      <c r="Q135" s="118"/>
      <c r="R135" s="118"/>
      <c r="S135" s="118"/>
      <c r="T135" s="128">
        <f>L135+M135+N135+O135+P135+Q135+R135+S135</f>
        <v>0</v>
      </c>
    </row>
    <row r="136" spans="1:20" ht="4.5" customHeight="1" x14ac:dyDescent="0.2">
      <c r="A136" s="76"/>
      <c r="B136" s="94"/>
      <c r="C136" s="94"/>
      <c r="D136" s="81"/>
      <c r="E136" s="81"/>
      <c r="F136" s="81"/>
      <c r="G136" s="81"/>
      <c r="H136" s="81"/>
      <c r="I136" s="81"/>
      <c r="J136" s="81"/>
      <c r="K136" s="81"/>
      <c r="L136" s="153"/>
      <c r="M136" s="153"/>
      <c r="N136" s="97"/>
      <c r="O136" s="97"/>
      <c r="P136" s="97"/>
      <c r="Q136" s="120"/>
      <c r="R136" s="120"/>
      <c r="S136" s="120"/>
      <c r="T136" s="157">
        <f>T134+T135</f>
        <v>0</v>
      </c>
    </row>
    <row r="137" spans="1:20" ht="4.5" customHeight="1" x14ac:dyDescent="0.2">
      <c r="A137" s="87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110"/>
      <c r="M137" s="110"/>
      <c r="N137" s="110"/>
      <c r="O137" s="110"/>
      <c r="P137" s="110"/>
      <c r="Q137" s="140"/>
      <c r="R137" s="140"/>
      <c r="S137" s="140"/>
      <c r="T137" s="158" t="e">
        <f>#REF!+#REF!+#REF!</f>
        <v>#REF!</v>
      </c>
    </row>
    <row r="138" spans="1:20" ht="22.5" customHeight="1" x14ac:dyDescent="0.2">
      <c r="A138" s="258" t="s">
        <v>279</v>
      </c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87"/>
      <c r="T138" s="159">
        <f>T136</f>
        <v>0</v>
      </c>
    </row>
    <row r="139" spans="1:20" ht="20.25" customHeight="1" x14ac:dyDescent="0.2">
      <c r="A139" s="288" t="s">
        <v>280</v>
      </c>
      <c r="B139" s="289"/>
      <c r="C139" s="289"/>
      <c r="D139" s="289"/>
      <c r="E139" s="289"/>
      <c r="F139" s="289"/>
      <c r="G139" s="289" t="s">
        <v>184</v>
      </c>
      <c r="H139" s="289"/>
      <c r="I139" s="289"/>
      <c r="J139" s="289"/>
      <c r="K139" s="289"/>
      <c r="L139" s="289"/>
      <c r="M139" s="289"/>
      <c r="N139" s="289"/>
      <c r="O139" s="289"/>
      <c r="P139" s="50" t="s">
        <v>185</v>
      </c>
      <c r="Q139" s="50" t="s">
        <v>186</v>
      </c>
      <c r="R139" s="50" t="s">
        <v>187</v>
      </c>
      <c r="S139" s="50" t="s">
        <v>188</v>
      </c>
      <c r="T139" s="69" t="s">
        <v>165</v>
      </c>
    </row>
    <row r="140" spans="1:20" x14ac:dyDescent="0.2">
      <c r="A140" s="19" t="s">
        <v>276</v>
      </c>
      <c r="B140" s="290" t="s">
        <v>126</v>
      </c>
      <c r="C140" s="290"/>
      <c r="D140" s="290"/>
      <c r="E140" s="290"/>
      <c r="F140" s="290"/>
      <c r="G140" s="257" t="s">
        <v>281</v>
      </c>
      <c r="H140" s="257"/>
      <c r="I140" s="257"/>
      <c r="J140" s="257"/>
      <c r="K140" s="257"/>
      <c r="L140" s="257"/>
      <c r="M140" s="257"/>
      <c r="N140" s="257"/>
      <c r="O140" s="257"/>
      <c r="P140" s="16">
        <v>40</v>
      </c>
      <c r="Q140" s="116"/>
      <c r="R140" s="116"/>
      <c r="S140" s="116"/>
      <c r="T140" s="128">
        <f>P140+Q140+R140+S140</f>
        <v>40</v>
      </c>
    </row>
    <row r="141" spans="1:20" ht="25.5" customHeight="1" x14ac:dyDescent="0.2">
      <c r="A141" s="19" t="s">
        <v>282</v>
      </c>
      <c r="B141" s="291" t="s">
        <v>129</v>
      </c>
      <c r="C141" s="291"/>
      <c r="D141" s="291"/>
      <c r="E141" s="291"/>
      <c r="F141" s="291"/>
      <c r="G141" s="209" t="s">
        <v>281</v>
      </c>
      <c r="H141" s="209"/>
      <c r="I141" s="209"/>
      <c r="J141" s="209"/>
      <c r="K141" s="209"/>
      <c r="L141" s="209"/>
      <c r="M141" s="209"/>
      <c r="N141" s="209"/>
      <c r="O141" s="209"/>
      <c r="P141" s="16">
        <v>10</v>
      </c>
      <c r="Q141" s="116"/>
      <c r="R141" s="116"/>
      <c r="S141" s="116"/>
      <c r="T141" s="160">
        <f>P141+Q141+R141+S141</f>
        <v>10</v>
      </c>
    </row>
    <row r="142" spans="1:20" ht="25.5" customHeight="1" x14ac:dyDescent="0.2">
      <c r="A142" s="19" t="s">
        <v>283</v>
      </c>
      <c r="B142" s="224" t="s">
        <v>131</v>
      </c>
      <c r="C142" s="224"/>
      <c r="D142" s="224"/>
      <c r="E142" s="224"/>
      <c r="F142" s="224"/>
      <c r="G142" s="209" t="s">
        <v>281</v>
      </c>
      <c r="H142" s="209"/>
      <c r="I142" s="209"/>
      <c r="J142" s="209"/>
      <c r="K142" s="209"/>
      <c r="L142" s="209"/>
      <c r="M142" s="209"/>
      <c r="N142" s="209"/>
      <c r="O142" s="209"/>
      <c r="P142" s="16">
        <v>40</v>
      </c>
      <c r="Q142" s="116"/>
      <c r="R142" s="116"/>
      <c r="S142" s="116"/>
      <c r="T142" s="160">
        <f>P142+Q142+R142+S142</f>
        <v>40</v>
      </c>
    </row>
    <row r="143" spans="1:20" ht="25.5" customHeight="1" x14ac:dyDescent="0.2">
      <c r="A143" s="19" t="s">
        <v>284</v>
      </c>
      <c r="B143" s="224" t="s">
        <v>133</v>
      </c>
      <c r="C143" s="224"/>
      <c r="D143" s="224"/>
      <c r="E143" s="224"/>
      <c r="F143" s="224"/>
      <c r="G143" s="209" t="s">
        <v>281</v>
      </c>
      <c r="H143" s="209"/>
      <c r="I143" s="209"/>
      <c r="J143" s="209"/>
      <c r="K143" s="209"/>
      <c r="L143" s="209"/>
      <c r="M143" s="209"/>
      <c r="N143" s="209"/>
      <c r="O143" s="209"/>
      <c r="P143" s="16">
        <v>40</v>
      </c>
      <c r="Q143" s="116"/>
      <c r="R143" s="116"/>
      <c r="S143" s="116"/>
      <c r="T143" s="160">
        <f t="shared" ref="T143:T148" si="12">P143+Q143+R143+S143</f>
        <v>40</v>
      </c>
    </row>
    <row r="144" spans="1:20" ht="25.5" customHeight="1" x14ac:dyDescent="0.2">
      <c r="A144" s="19" t="s">
        <v>285</v>
      </c>
      <c r="B144" s="291" t="s">
        <v>135</v>
      </c>
      <c r="C144" s="291"/>
      <c r="D144" s="291"/>
      <c r="E144" s="291"/>
      <c r="F144" s="291"/>
      <c r="G144" s="209" t="s">
        <v>281</v>
      </c>
      <c r="H144" s="209"/>
      <c r="I144" s="209"/>
      <c r="J144" s="209"/>
      <c r="K144" s="209"/>
      <c r="L144" s="209"/>
      <c r="M144" s="209"/>
      <c r="N144" s="209"/>
      <c r="O144" s="209"/>
      <c r="P144" s="16">
        <v>10</v>
      </c>
      <c r="Q144" s="116"/>
      <c r="R144" s="116"/>
      <c r="S144" s="116"/>
      <c r="T144" s="160">
        <f t="shared" si="12"/>
        <v>10</v>
      </c>
    </row>
    <row r="145" spans="1:20" ht="15" customHeight="1" x14ac:dyDescent="0.2">
      <c r="A145" s="223" t="s">
        <v>286</v>
      </c>
      <c r="B145" s="224" t="s">
        <v>287</v>
      </c>
      <c r="C145" s="224"/>
      <c r="D145" s="224"/>
      <c r="E145" s="224"/>
      <c r="F145" s="224"/>
      <c r="G145" s="257" t="s">
        <v>288</v>
      </c>
      <c r="H145" s="257"/>
      <c r="I145" s="257"/>
      <c r="J145" s="257"/>
      <c r="K145" s="257"/>
      <c r="L145" s="257"/>
      <c r="M145" s="257"/>
      <c r="N145" s="257"/>
      <c r="O145" s="257"/>
      <c r="P145" s="16"/>
      <c r="Q145" s="116"/>
      <c r="R145" s="116"/>
      <c r="S145" s="116"/>
      <c r="T145" s="160">
        <f t="shared" si="12"/>
        <v>0</v>
      </c>
    </row>
    <row r="146" spans="1:20" ht="15" customHeight="1" x14ac:dyDescent="0.2">
      <c r="A146" s="223"/>
      <c r="B146" s="224"/>
      <c r="C146" s="224"/>
      <c r="D146" s="224"/>
      <c r="E146" s="224"/>
      <c r="F146" s="224"/>
      <c r="G146" s="257" t="s">
        <v>289</v>
      </c>
      <c r="H146" s="257"/>
      <c r="I146" s="257"/>
      <c r="J146" s="257"/>
      <c r="K146" s="257"/>
      <c r="L146" s="257"/>
      <c r="M146" s="257"/>
      <c r="N146" s="257"/>
      <c r="O146" s="257"/>
      <c r="P146" s="16"/>
      <c r="Q146" s="116"/>
      <c r="R146" s="116"/>
      <c r="S146" s="116"/>
      <c r="T146" s="160">
        <f t="shared" si="12"/>
        <v>0</v>
      </c>
    </row>
    <row r="147" spans="1:20" ht="15" customHeight="1" x14ac:dyDescent="0.2">
      <c r="A147" s="223"/>
      <c r="B147" s="224"/>
      <c r="C147" s="224"/>
      <c r="D147" s="224"/>
      <c r="E147" s="224"/>
      <c r="F147" s="224"/>
      <c r="G147" s="257" t="s">
        <v>290</v>
      </c>
      <c r="H147" s="257"/>
      <c r="I147" s="257"/>
      <c r="J147" s="257"/>
      <c r="K147" s="257"/>
      <c r="L147" s="257"/>
      <c r="M147" s="257"/>
      <c r="N147" s="257"/>
      <c r="O147" s="257"/>
      <c r="P147" s="16"/>
      <c r="Q147" s="116"/>
      <c r="R147" s="116"/>
      <c r="S147" s="116"/>
      <c r="T147" s="160">
        <f t="shared" si="12"/>
        <v>0</v>
      </c>
    </row>
    <row r="148" spans="1:20" ht="15" customHeight="1" x14ac:dyDescent="0.2">
      <c r="A148" s="223"/>
      <c r="B148" s="224"/>
      <c r="C148" s="224"/>
      <c r="D148" s="224"/>
      <c r="E148" s="224"/>
      <c r="F148" s="224"/>
      <c r="G148" s="257" t="s">
        <v>291</v>
      </c>
      <c r="H148" s="257"/>
      <c r="I148" s="257"/>
      <c r="J148" s="257"/>
      <c r="K148" s="257"/>
      <c r="L148" s="257"/>
      <c r="M148" s="257"/>
      <c r="N148" s="257"/>
      <c r="O148" s="257"/>
      <c r="P148" s="16">
        <v>50</v>
      </c>
      <c r="Q148" s="116"/>
      <c r="R148" s="116"/>
      <c r="S148" s="116"/>
      <c r="T148" s="160">
        <f t="shared" si="12"/>
        <v>50</v>
      </c>
    </row>
    <row r="149" spans="1:20" ht="10.5" customHeight="1" x14ac:dyDescent="0.2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3"/>
      <c r="M149" s="23"/>
      <c r="N149" s="23"/>
      <c r="O149" s="23"/>
      <c r="P149" s="16"/>
      <c r="Q149" s="116"/>
      <c r="R149" s="116"/>
      <c r="S149" s="116"/>
      <c r="T149" s="160"/>
    </row>
    <row r="150" spans="1:20" ht="21.75" customHeight="1" x14ac:dyDescent="0.2">
      <c r="A150" s="149" t="s">
        <v>292</v>
      </c>
      <c r="B150" s="285" t="s">
        <v>143</v>
      </c>
      <c r="C150" s="285"/>
      <c r="D150" s="285"/>
      <c r="E150" s="285"/>
      <c r="F150" s="285"/>
      <c r="G150" s="286" t="s">
        <v>281</v>
      </c>
      <c r="H150" s="286"/>
      <c r="I150" s="286"/>
      <c r="J150" s="286"/>
      <c r="K150" s="286"/>
      <c r="L150" s="286"/>
      <c r="M150" s="286"/>
      <c r="N150" s="286"/>
      <c r="O150" s="286"/>
      <c r="P150" s="96">
        <v>20</v>
      </c>
      <c r="Q150" s="118"/>
      <c r="R150" s="118"/>
      <c r="S150" s="118"/>
      <c r="T150" s="161">
        <f>P150+Q150+R150+S150</f>
        <v>20</v>
      </c>
    </row>
    <row r="151" spans="1:20" ht="21" customHeight="1" x14ac:dyDescent="0.2">
      <c r="A151" s="335" t="s">
        <v>293</v>
      </c>
      <c r="B151" s="336"/>
      <c r="C151" s="336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150"/>
      <c r="T151" s="162">
        <f>T140+T141+T142+T143+T144+T145+T146+T147+T148+T150</f>
        <v>210</v>
      </c>
    </row>
    <row r="152" spans="1:20" x14ac:dyDescent="0.2">
      <c r="A152" s="337" t="s">
        <v>294</v>
      </c>
      <c r="B152" s="338"/>
      <c r="C152" s="338"/>
      <c r="D152" s="338"/>
      <c r="E152" s="338"/>
      <c r="F152" s="338"/>
      <c r="G152" s="339" t="s">
        <v>184</v>
      </c>
      <c r="H152" s="339"/>
      <c r="I152" s="339"/>
      <c r="J152" s="339"/>
      <c r="K152" s="339"/>
      <c r="L152" s="339"/>
      <c r="M152" s="339"/>
      <c r="N152" s="339"/>
      <c r="O152" s="339"/>
      <c r="P152" s="49" t="s">
        <v>185</v>
      </c>
      <c r="Q152" s="49" t="s">
        <v>186</v>
      </c>
      <c r="R152" s="49" t="s">
        <v>187</v>
      </c>
      <c r="S152" s="49" t="s">
        <v>188</v>
      </c>
      <c r="T152" s="163" t="s">
        <v>171</v>
      </c>
    </row>
    <row r="153" spans="1:20" ht="15.75" customHeight="1" x14ac:dyDescent="0.2">
      <c r="A153" s="25" t="s">
        <v>276</v>
      </c>
      <c r="B153" s="340" t="s">
        <v>145</v>
      </c>
      <c r="C153" s="341"/>
      <c r="D153" s="341"/>
      <c r="E153" s="341"/>
      <c r="F153" s="342"/>
      <c r="G153" s="269" t="s">
        <v>295</v>
      </c>
      <c r="H153" s="269"/>
      <c r="I153" s="269"/>
      <c r="J153" s="269"/>
      <c r="K153" s="269"/>
      <c r="L153" s="269"/>
      <c r="M153" s="269"/>
      <c r="N153" s="269"/>
      <c r="O153" s="269"/>
      <c r="P153" s="102">
        <v>50</v>
      </c>
      <c r="Q153" s="126"/>
      <c r="R153" s="126"/>
      <c r="S153" s="126"/>
      <c r="T153" s="128">
        <f>P153+Q153+R153+S153</f>
        <v>50</v>
      </c>
    </row>
    <row r="154" spans="1:20" ht="19.5" customHeight="1" x14ac:dyDescent="0.2">
      <c r="A154" s="28" t="s">
        <v>282</v>
      </c>
      <c r="B154" s="343" t="s">
        <v>148</v>
      </c>
      <c r="C154" s="343"/>
      <c r="D154" s="343"/>
      <c r="E154" s="343"/>
      <c r="F154" s="343"/>
      <c r="G154" s="344" t="s">
        <v>296</v>
      </c>
      <c r="H154" s="344"/>
      <c r="I154" s="344"/>
      <c r="J154" s="344"/>
      <c r="K154" s="344"/>
      <c r="L154" s="344"/>
      <c r="M154" s="344"/>
      <c r="N154" s="344"/>
      <c r="O154" s="344"/>
      <c r="P154" s="96"/>
      <c r="Q154" s="118"/>
      <c r="R154" s="118"/>
      <c r="S154" s="118"/>
      <c r="T154" s="130">
        <f t="shared" ref="T154" si="13">P154+Q154+R154+S154</f>
        <v>0</v>
      </c>
    </row>
    <row r="155" spans="1:20" ht="15.75" customHeight="1" x14ac:dyDescent="0.2">
      <c r="A155" s="345" t="s">
        <v>297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162">
        <f>T153+T154</f>
        <v>50</v>
      </c>
    </row>
    <row r="156" spans="1:20" ht="15.75" customHeight="1" x14ac:dyDescent="0.2">
      <c r="A156" s="347" t="s">
        <v>298</v>
      </c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135">
        <f>T138+T151++T155</f>
        <v>260</v>
      </c>
    </row>
    <row r="157" spans="1:20" ht="15.75" customHeight="1" x14ac:dyDescent="0.2">
      <c r="A157" s="318" t="s">
        <v>152</v>
      </c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8">
        <f>T35+T130+T156</f>
        <v>1057</v>
      </c>
      <c r="T157" s="322"/>
    </row>
    <row r="158" spans="1:20" ht="21.75" customHeight="1" x14ac:dyDescent="0.2">
      <c r="A158" s="320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0"/>
      <c r="T158" s="323"/>
    </row>
  </sheetData>
  <mergeCells count="263">
    <mergeCell ref="B94:C95"/>
    <mergeCell ref="D94:K95"/>
    <mergeCell ref="B89:C92"/>
    <mergeCell ref="B83:C87"/>
    <mergeCell ref="B77:C81"/>
    <mergeCell ref="A75:C76"/>
    <mergeCell ref="D75:K76"/>
    <mergeCell ref="B69:I72"/>
    <mergeCell ref="B25:B26"/>
    <mergeCell ref="B27:B28"/>
    <mergeCell ref="B29:B30"/>
    <mergeCell ref="B31:B33"/>
    <mergeCell ref="J51:O51"/>
    <mergeCell ref="J52:O52"/>
    <mergeCell ref="J53:O53"/>
    <mergeCell ref="J54:O54"/>
    <mergeCell ref="A83:A87"/>
    <mergeCell ref="A89:A92"/>
    <mergeCell ref="T132:T133"/>
    <mergeCell ref="A157:R158"/>
    <mergeCell ref="S157:T158"/>
    <mergeCell ref="B145:F148"/>
    <mergeCell ref="B134:C135"/>
    <mergeCell ref="A132:C133"/>
    <mergeCell ref="D132:K133"/>
    <mergeCell ref="B123:D126"/>
    <mergeCell ref="B114:F115"/>
    <mergeCell ref="A118:C119"/>
    <mergeCell ref="D118:K119"/>
    <mergeCell ref="A151:R151"/>
    <mergeCell ref="A152:F152"/>
    <mergeCell ref="G152:O152"/>
    <mergeCell ref="B153:F153"/>
    <mergeCell ref="G153:O153"/>
    <mergeCell ref="B154:F154"/>
    <mergeCell ref="G154:O154"/>
    <mergeCell ref="A155:S155"/>
    <mergeCell ref="A156:S156"/>
    <mergeCell ref="B143:F143"/>
    <mergeCell ref="G143:O143"/>
    <mergeCell ref="B144:F144"/>
    <mergeCell ref="G144:O144"/>
    <mergeCell ref="T17:T18"/>
    <mergeCell ref="T19:T21"/>
    <mergeCell ref="T23:T24"/>
    <mergeCell ref="T25:T26"/>
    <mergeCell ref="T27:T28"/>
    <mergeCell ref="T29:T30"/>
    <mergeCell ref="T31:T33"/>
    <mergeCell ref="T75:T76"/>
    <mergeCell ref="T118:T119"/>
    <mergeCell ref="A94:A95"/>
    <mergeCell ref="A101:A103"/>
    <mergeCell ref="G101:O101"/>
    <mergeCell ref="G102:O102"/>
    <mergeCell ref="G103:O103"/>
    <mergeCell ref="D80:K80"/>
    <mergeCell ref="D81:K81"/>
    <mergeCell ref="D83:K83"/>
    <mergeCell ref="D84:K84"/>
    <mergeCell ref="D85:K85"/>
    <mergeCell ref="D86:K86"/>
    <mergeCell ref="D87:K87"/>
    <mergeCell ref="D89:K89"/>
    <mergeCell ref="D90:K90"/>
    <mergeCell ref="D91:K91"/>
    <mergeCell ref="D92:K92"/>
    <mergeCell ref="B97:C97"/>
    <mergeCell ref="D97:K97"/>
    <mergeCell ref="A98:R98"/>
    <mergeCell ref="A99:F99"/>
    <mergeCell ref="G99:O99"/>
    <mergeCell ref="B100:F100"/>
    <mergeCell ref="G100:O100"/>
    <mergeCell ref="B101:F103"/>
    <mergeCell ref="A25:A26"/>
    <mergeCell ref="A27:A28"/>
    <mergeCell ref="A29:A30"/>
    <mergeCell ref="A31:A33"/>
    <mergeCell ref="A38:A43"/>
    <mergeCell ref="A45:A49"/>
    <mergeCell ref="A51:A55"/>
    <mergeCell ref="A57:A61"/>
    <mergeCell ref="A63:A67"/>
    <mergeCell ref="G145:O145"/>
    <mergeCell ref="G146:O146"/>
    <mergeCell ref="G147:O147"/>
    <mergeCell ref="G148:O148"/>
    <mergeCell ref="B150:F150"/>
    <mergeCell ref="G150:O150"/>
    <mergeCell ref="D135:K135"/>
    <mergeCell ref="A138:S138"/>
    <mergeCell ref="A139:F139"/>
    <mergeCell ref="G139:O139"/>
    <mergeCell ref="B140:F140"/>
    <mergeCell ref="G140:O140"/>
    <mergeCell ref="B141:F141"/>
    <mergeCell ref="G141:O141"/>
    <mergeCell ref="B142:F142"/>
    <mergeCell ref="G142:O142"/>
    <mergeCell ref="A134:A135"/>
    <mergeCell ref="A145:A148"/>
    <mergeCell ref="E129:O129"/>
    <mergeCell ref="A130:S130"/>
    <mergeCell ref="A131:R131"/>
    <mergeCell ref="L132:M132"/>
    <mergeCell ref="N132:O132"/>
    <mergeCell ref="P132:Q132"/>
    <mergeCell ref="R132:S132"/>
    <mergeCell ref="D134:K134"/>
    <mergeCell ref="B120:C120"/>
    <mergeCell ref="D120:K120"/>
    <mergeCell ref="A121:R121"/>
    <mergeCell ref="E122:O122"/>
    <mergeCell ref="E123:O123"/>
    <mergeCell ref="E124:O124"/>
    <mergeCell ref="E125:O125"/>
    <mergeCell ref="E126:O126"/>
    <mergeCell ref="B128:R128"/>
    <mergeCell ref="A123:A126"/>
    <mergeCell ref="A129:D129"/>
    <mergeCell ref="G111:O111"/>
    <mergeCell ref="G112:O112"/>
    <mergeCell ref="G114:O114"/>
    <mergeCell ref="G115:O115"/>
    <mergeCell ref="A117:S117"/>
    <mergeCell ref="L118:M118"/>
    <mergeCell ref="N118:O118"/>
    <mergeCell ref="P118:Q118"/>
    <mergeCell ref="R118:S118"/>
    <mergeCell ref="B105:F112"/>
    <mergeCell ref="G105:O105"/>
    <mergeCell ref="G106:O106"/>
    <mergeCell ref="G107:O107"/>
    <mergeCell ref="G108:O108"/>
    <mergeCell ref="G109:O109"/>
    <mergeCell ref="G110:O110"/>
    <mergeCell ref="A105:A112"/>
    <mergeCell ref="A114:A115"/>
    <mergeCell ref="N75:O75"/>
    <mergeCell ref="P75:Q75"/>
    <mergeCell ref="R75:S75"/>
    <mergeCell ref="D77:K77"/>
    <mergeCell ref="D78:K78"/>
    <mergeCell ref="D79:K79"/>
    <mergeCell ref="A69:A72"/>
    <mergeCell ref="A77:A81"/>
    <mergeCell ref="J61:O61"/>
    <mergeCell ref="J63:O63"/>
    <mergeCell ref="J64:O64"/>
    <mergeCell ref="J65:O65"/>
    <mergeCell ref="J66:O66"/>
    <mergeCell ref="J67:O67"/>
    <mergeCell ref="J69:O69"/>
    <mergeCell ref="J70:O70"/>
    <mergeCell ref="J71:O71"/>
    <mergeCell ref="J72:O72"/>
    <mergeCell ref="A74:S74"/>
    <mergeCell ref="L75:M75"/>
    <mergeCell ref="B63:I67"/>
    <mergeCell ref="B57:I61"/>
    <mergeCell ref="J60:O60"/>
    <mergeCell ref="J40:O40"/>
    <mergeCell ref="J41:O41"/>
    <mergeCell ref="J42:O42"/>
    <mergeCell ref="J43:O43"/>
    <mergeCell ref="J45:O45"/>
    <mergeCell ref="J46:O46"/>
    <mergeCell ref="J47:O47"/>
    <mergeCell ref="J48:O48"/>
    <mergeCell ref="J49:O49"/>
    <mergeCell ref="A34:S34"/>
    <mergeCell ref="A35:S35"/>
    <mergeCell ref="J37:O37"/>
    <mergeCell ref="J38:O38"/>
    <mergeCell ref="J39:O39"/>
    <mergeCell ref="J55:O55"/>
    <mergeCell ref="J57:O57"/>
    <mergeCell ref="J58:O58"/>
    <mergeCell ref="J59:O59"/>
    <mergeCell ref="B51:I55"/>
    <mergeCell ref="B45:I49"/>
    <mergeCell ref="B38:I43"/>
    <mergeCell ref="D31:G31"/>
    <mergeCell ref="H31:K31"/>
    <mergeCell ref="L31:O31"/>
    <mergeCell ref="P31:S31"/>
    <mergeCell ref="D32:G32"/>
    <mergeCell ref="H32:K32"/>
    <mergeCell ref="L32:O32"/>
    <mergeCell ref="P32:S32"/>
    <mergeCell ref="D33:G33"/>
    <mergeCell ref="H33:K33"/>
    <mergeCell ref="L33:O33"/>
    <mergeCell ref="P33:S33"/>
    <mergeCell ref="D28:G28"/>
    <mergeCell ref="H28:K28"/>
    <mergeCell ref="L28:O28"/>
    <mergeCell ref="P28:S28"/>
    <mergeCell ref="D29:G29"/>
    <mergeCell ref="H29:K29"/>
    <mergeCell ref="L29:O29"/>
    <mergeCell ref="P29:S29"/>
    <mergeCell ref="D30:G30"/>
    <mergeCell ref="H30:K30"/>
    <mergeCell ref="L30:O30"/>
    <mergeCell ref="P30:S30"/>
    <mergeCell ref="D25:G25"/>
    <mergeCell ref="H25:K25"/>
    <mergeCell ref="L25:O25"/>
    <mergeCell ref="P25:S25"/>
    <mergeCell ref="D26:G26"/>
    <mergeCell ref="H26:K26"/>
    <mergeCell ref="L26:O26"/>
    <mergeCell ref="P26:S26"/>
    <mergeCell ref="D27:G27"/>
    <mergeCell ref="H27:K27"/>
    <mergeCell ref="L27:O27"/>
    <mergeCell ref="P27:S27"/>
    <mergeCell ref="D17:G17"/>
    <mergeCell ref="H17:K17"/>
    <mergeCell ref="L17:O17"/>
    <mergeCell ref="P17:S17"/>
    <mergeCell ref="A22:R22"/>
    <mergeCell ref="D23:G23"/>
    <mergeCell ref="H23:K23"/>
    <mergeCell ref="L23:O23"/>
    <mergeCell ref="P23:S23"/>
    <mergeCell ref="A19:A21"/>
    <mergeCell ref="B19:B21"/>
    <mergeCell ref="K19:K21"/>
    <mergeCell ref="O19:O21"/>
    <mergeCell ref="S19:S21"/>
    <mergeCell ref="C17:C18"/>
    <mergeCell ref="C23:C24"/>
    <mergeCell ref="G19:G21"/>
    <mergeCell ref="D24:G24"/>
    <mergeCell ref="H24:K24"/>
    <mergeCell ref="L24:O24"/>
    <mergeCell ref="P24:S24"/>
    <mergeCell ref="A23:B24"/>
    <mergeCell ref="A17:B18"/>
    <mergeCell ref="B1:T1"/>
    <mergeCell ref="A3:T3"/>
    <mergeCell ref="A4:T4"/>
    <mergeCell ref="B5:T5"/>
    <mergeCell ref="A9:T9"/>
    <mergeCell ref="D10:H10"/>
    <mergeCell ref="I10:M10"/>
    <mergeCell ref="O10:S10"/>
    <mergeCell ref="A16:R16"/>
    <mergeCell ref="A10:A11"/>
    <mergeCell ref="A12:A13"/>
    <mergeCell ref="A14:A15"/>
    <mergeCell ref="B10:B11"/>
    <mergeCell ref="B12:B13"/>
    <mergeCell ref="B14:B15"/>
    <mergeCell ref="N10:N11"/>
    <mergeCell ref="T10:T11"/>
    <mergeCell ref="T12:T13"/>
    <mergeCell ref="T14:T15"/>
    <mergeCell ref="C10:C11"/>
    <mergeCell ref="C12:C15"/>
  </mergeCells>
  <pageMargins left="0.7" right="0.7" top="0.75" bottom="0.75" header="0.3" footer="0.3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58"/>
  <sheetViews>
    <sheetView workbookViewId="0">
      <selection activeCell="W17" sqref="W17"/>
    </sheetView>
  </sheetViews>
  <sheetFormatPr defaultColWidth="9.140625" defaultRowHeight="11.25" x14ac:dyDescent="0.2"/>
  <cols>
    <col min="1" max="1" width="5" style="1" customWidth="1"/>
    <col min="2" max="2" width="25.7109375" style="2" customWidth="1"/>
    <col min="3" max="3" width="11.140625" style="2" customWidth="1"/>
    <col min="4" max="11" width="3.42578125" style="2" customWidth="1"/>
    <col min="12" max="19" width="4.42578125" style="2" customWidth="1"/>
    <col min="20" max="20" width="26.140625" style="2" customWidth="1"/>
    <col min="21" max="21" width="9.140625" style="2"/>
    <col min="22" max="22" width="32.28515625" style="2" customWidth="1"/>
    <col min="23" max="16384" width="9.140625" style="2"/>
  </cols>
  <sheetData>
    <row r="1" spans="1:20" ht="18" customHeight="1" x14ac:dyDescent="0.2">
      <c r="B1" s="192" t="s">
        <v>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20" ht="9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O2" s="3"/>
      <c r="P2" s="42" t="s">
        <v>153</v>
      </c>
      <c r="Q2" s="42"/>
      <c r="R2" s="42"/>
      <c r="S2" s="42"/>
      <c r="T2" s="42"/>
    </row>
    <row r="3" spans="1:20" ht="15" customHeight="1" x14ac:dyDescent="0.2">
      <c r="A3" s="193" t="s">
        <v>154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20" ht="50.25" customHeight="1" x14ac:dyDescent="0.2">
      <c r="A4" s="194" t="s">
        <v>155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</row>
    <row r="5" spans="1:20" ht="16.5" customHeight="1" x14ac:dyDescent="0.2">
      <c r="A5" s="4" t="s">
        <v>3</v>
      </c>
      <c r="B5" s="197" t="s">
        <v>156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9"/>
    </row>
    <row r="6" spans="1:20" ht="17.25" customHeight="1" x14ac:dyDescent="0.2">
      <c r="A6" s="5" t="s">
        <v>157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8"/>
    </row>
    <row r="7" spans="1:20" ht="33" customHeight="1" x14ac:dyDescent="0.2">
      <c r="A7" s="7" t="s">
        <v>158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59"/>
    </row>
    <row r="8" spans="1:20" ht="14.25" customHeight="1" x14ac:dyDescent="0.2">
      <c r="A8" s="9" t="s">
        <v>159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60">
        <v>0.2</v>
      </c>
    </row>
    <row r="9" spans="1:20" ht="25.5" customHeight="1" x14ac:dyDescent="0.2">
      <c r="A9" s="200" t="s">
        <v>160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2"/>
    </row>
    <row r="10" spans="1:20" ht="19.5" customHeight="1" x14ac:dyDescent="0.2">
      <c r="A10" s="207"/>
      <c r="B10" s="210"/>
      <c r="C10" s="217" t="s">
        <v>14</v>
      </c>
      <c r="D10" s="203" t="s">
        <v>161</v>
      </c>
      <c r="E10" s="203"/>
      <c r="F10" s="203"/>
      <c r="G10" s="203"/>
      <c r="H10" s="203"/>
      <c r="I10" s="203" t="s">
        <v>162</v>
      </c>
      <c r="J10" s="203"/>
      <c r="K10" s="203"/>
      <c r="L10" s="203"/>
      <c r="M10" s="203"/>
      <c r="N10" s="204" t="s">
        <v>163</v>
      </c>
      <c r="O10" s="204" t="s">
        <v>164</v>
      </c>
      <c r="P10" s="204"/>
      <c r="Q10" s="204"/>
      <c r="R10" s="204"/>
      <c r="S10" s="204"/>
      <c r="T10" s="213" t="s">
        <v>165</v>
      </c>
    </row>
    <row r="11" spans="1:20" ht="22.5" customHeight="1" x14ac:dyDescent="0.2">
      <c r="A11" s="208"/>
      <c r="B11" s="211"/>
      <c r="C11" s="218"/>
      <c r="D11" s="12" t="s">
        <v>8</v>
      </c>
      <c r="E11" s="12" t="s">
        <v>9</v>
      </c>
      <c r="F11" s="12" t="s">
        <v>10</v>
      </c>
      <c r="G11" s="12" t="s">
        <v>11</v>
      </c>
      <c r="H11" s="12" t="s">
        <v>166</v>
      </c>
      <c r="I11" s="12" t="s">
        <v>8</v>
      </c>
      <c r="J11" s="12" t="s">
        <v>9</v>
      </c>
      <c r="K11" s="12" t="s">
        <v>10</v>
      </c>
      <c r="L11" s="12" t="s">
        <v>11</v>
      </c>
      <c r="M11" s="12" t="s">
        <v>166</v>
      </c>
      <c r="N11" s="212"/>
      <c r="O11" s="12" t="s">
        <v>8</v>
      </c>
      <c r="P11" s="12" t="s">
        <v>9</v>
      </c>
      <c r="Q11" s="12" t="s">
        <v>10</v>
      </c>
      <c r="R11" s="12" t="s">
        <v>11</v>
      </c>
      <c r="S11" s="12" t="s">
        <v>166</v>
      </c>
      <c r="T11" s="214"/>
    </row>
    <row r="12" spans="1:20" ht="12.75" customHeight="1" x14ac:dyDescent="0.2">
      <c r="A12" s="209" t="s">
        <v>50</v>
      </c>
      <c r="B12" s="209" t="s">
        <v>167</v>
      </c>
      <c r="C12" s="219" t="s">
        <v>168</v>
      </c>
      <c r="D12" s="14">
        <v>80</v>
      </c>
      <c r="E12" s="15"/>
      <c r="F12" s="15"/>
      <c r="G12" s="15"/>
      <c r="H12" s="15">
        <f>(D12+E12+F12+G12)/4</f>
        <v>20</v>
      </c>
      <c r="I12" s="17"/>
      <c r="J12" s="17"/>
      <c r="K12" s="17"/>
      <c r="L12" s="17"/>
      <c r="M12" s="15">
        <f>(I12+J12+K12+L12)/4</f>
        <v>0</v>
      </c>
      <c r="N12" s="43">
        <v>1</v>
      </c>
      <c r="O12" s="43"/>
      <c r="P12" s="43"/>
      <c r="Q12" s="43"/>
      <c r="R12" s="43"/>
      <c r="S12" s="43">
        <f>SUM(O12:R12)/4</f>
        <v>0</v>
      </c>
      <c r="T12" s="215">
        <f>(H12+N12-0.2*S12)+(M12-0.2*S12)</f>
        <v>21</v>
      </c>
    </row>
    <row r="13" spans="1:20" ht="21.75" customHeight="1" x14ac:dyDescent="0.2">
      <c r="A13" s="209"/>
      <c r="B13" s="209"/>
      <c r="C13" s="219"/>
      <c r="D13" s="16"/>
      <c r="E13" s="15"/>
      <c r="F13" s="15"/>
      <c r="G13" s="15"/>
      <c r="H13" s="15"/>
      <c r="I13" s="16"/>
      <c r="J13" s="16"/>
      <c r="K13" s="16"/>
      <c r="L13" s="16"/>
      <c r="M13" s="16"/>
      <c r="N13" s="44"/>
      <c r="O13" s="45"/>
      <c r="P13" s="46"/>
      <c r="Q13" s="46"/>
      <c r="R13" s="46"/>
      <c r="S13" s="46"/>
      <c r="T13" s="216"/>
    </row>
    <row r="14" spans="1:20" ht="13.5" customHeight="1" x14ac:dyDescent="0.2">
      <c r="A14" s="209" t="s">
        <v>54</v>
      </c>
      <c r="B14" s="209" t="s">
        <v>169</v>
      </c>
      <c r="C14" s="219"/>
      <c r="D14" s="16">
        <v>80</v>
      </c>
      <c r="E14" s="16"/>
      <c r="F14" s="16"/>
      <c r="G14" s="16"/>
      <c r="H14" s="15">
        <f>(D14+E14+F14+G14)/4</f>
        <v>20</v>
      </c>
      <c r="I14" s="16"/>
      <c r="J14" s="16"/>
      <c r="K14" s="16"/>
      <c r="L14" s="16"/>
      <c r="M14" s="15">
        <f>(I14+J14+K14+L14)/4</f>
        <v>0</v>
      </c>
      <c r="N14" s="43">
        <v>1</v>
      </c>
      <c r="O14" s="43"/>
      <c r="P14" s="43"/>
      <c r="Q14" s="43"/>
      <c r="R14" s="43"/>
      <c r="S14" s="43">
        <f>SUM(O14:R14)/4</f>
        <v>0</v>
      </c>
      <c r="T14" s="215">
        <f>(H14+N14-0.2*S14)+(M14-0.2*S14)</f>
        <v>21</v>
      </c>
    </row>
    <row r="15" spans="1:20" ht="33" customHeight="1" x14ac:dyDescent="0.2">
      <c r="A15" s="209"/>
      <c r="B15" s="209"/>
      <c r="C15" s="21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47"/>
      <c r="O15" s="48"/>
      <c r="P15" s="46"/>
      <c r="Q15" s="46"/>
      <c r="R15" s="46"/>
      <c r="S15" s="46"/>
      <c r="T15" s="216"/>
    </row>
    <row r="16" spans="1:20" ht="21" customHeight="1" x14ac:dyDescent="0.2">
      <c r="A16" s="205" t="s">
        <v>29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61"/>
      <c r="T16" s="62">
        <f>T12+T14</f>
        <v>42</v>
      </c>
    </row>
    <row r="17" spans="1:20" ht="32.25" customHeight="1" x14ac:dyDescent="0.2">
      <c r="A17" s="356" t="s">
        <v>170</v>
      </c>
      <c r="B17" s="226"/>
      <c r="C17" s="226" t="s">
        <v>14</v>
      </c>
      <c r="D17" s="220" t="s">
        <v>31</v>
      </c>
      <c r="E17" s="220"/>
      <c r="F17" s="220"/>
      <c r="G17" s="220"/>
      <c r="H17" s="220" t="s">
        <v>32</v>
      </c>
      <c r="I17" s="220"/>
      <c r="J17" s="220"/>
      <c r="K17" s="220"/>
      <c r="L17" s="220" t="s">
        <v>33</v>
      </c>
      <c r="M17" s="220"/>
      <c r="N17" s="220"/>
      <c r="O17" s="220"/>
      <c r="P17" s="220" t="s">
        <v>34</v>
      </c>
      <c r="Q17" s="220"/>
      <c r="R17" s="220"/>
      <c r="S17" s="220"/>
      <c r="T17" s="309" t="s">
        <v>171</v>
      </c>
    </row>
    <row r="18" spans="1:20" ht="30" customHeight="1" x14ac:dyDescent="0.2">
      <c r="A18" s="357"/>
      <c r="B18" s="225"/>
      <c r="C18" s="225"/>
      <c r="D18" s="18" t="s">
        <v>35</v>
      </c>
      <c r="E18" s="18" t="s">
        <v>172</v>
      </c>
      <c r="F18" s="18" t="s">
        <v>37</v>
      </c>
      <c r="G18" s="18" t="s">
        <v>39</v>
      </c>
      <c r="H18" s="18" t="s">
        <v>172</v>
      </c>
      <c r="I18" s="18" t="s">
        <v>37</v>
      </c>
      <c r="J18" s="18" t="s">
        <v>35</v>
      </c>
      <c r="K18" s="18" t="s">
        <v>39</v>
      </c>
      <c r="L18" s="18" t="s">
        <v>172</v>
      </c>
      <c r="M18" s="18" t="s">
        <v>37</v>
      </c>
      <c r="N18" s="18" t="s">
        <v>35</v>
      </c>
      <c r="O18" s="18" t="s">
        <v>39</v>
      </c>
      <c r="P18" s="18" t="s">
        <v>172</v>
      </c>
      <c r="Q18" s="18" t="s">
        <v>37</v>
      </c>
      <c r="R18" s="18" t="s">
        <v>35</v>
      </c>
      <c r="S18" s="18" t="s">
        <v>39</v>
      </c>
      <c r="T18" s="310"/>
    </row>
    <row r="19" spans="1:20" ht="11.25" customHeight="1" x14ac:dyDescent="0.2">
      <c r="A19" s="223" t="s">
        <v>50</v>
      </c>
      <c r="B19" s="224" t="s">
        <v>173</v>
      </c>
      <c r="C19" s="13" t="s">
        <v>174</v>
      </c>
      <c r="D19" s="15">
        <v>160</v>
      </c>
      <c r="E19" s="15"/>
      <c r="F19" s="15"/>
      <c r="G19" s="225">
        <f>D19+E19+F19+D20+E20+F20+D21+E21+F21</f>
        <v>160</v>
      </c>
      <c r="H19" s="15"/>
      <c r="I19" s="15"/>
      <c r="J19" s="15"/>
      <c r="K19" s="225">
        <f>H19+I19+J19+H20+I20+J20+H21+I21+J21</f>
        <v>0</v>
      </c>
      <c r="L19" s="15"/>
      <c r="M19" s="15"/>
      <c r="N19" s="15"/>
      <c r="O19" s="225">
        <f>L19+M19+N19+L20+M20+N20+L21+M21+N21</f>
        <v>0</v>
      </c>
      <c r="P19" s="15"/>
      <c r="Q19" s="15"/>
      <c r="R19" s="15"/>
      <c r="S19" s="225">
        <f t="shared" ref="S19" si="0">P19+Q19+R19+P20++Q20+R20+P21+Q21+R21</f>
        <v>0</v>
      </c>
      <c r="T19" s="310">
        <f>(G19+K19+O19+S19)/4</f>
        <v>40</v>
      </c>
    </row>
    <row r="20" spans="1:20" ht="11.25" customHeight="1" x14ac:dyDescent="0.2">
      <c r="A20" s="223"/>
      <c r="B20" s="224"/>
      <c r="C20" s="13" t="s">
        <v>175</v>
      </c>
      <c r="D20" s="15"/>
      <c r="E20" s="15"/>
      <c r="F20" s="15"/>
      <c r="G20" s="225"/>
      <c r="H20" s="15"/>
      <c r="I20" s="15"/>
      <c r="J20" s="15"/>
      <c r="K20" s="225"/>
      <c r="L20" s="15"/>
      <c r="M20" s="15"/>
      <c r="N20" s="15"/>
      <c r="O20" s="225"/>
      <c r="P20" s="15"/>
      <c r="Q20" s="15"/>
      <c r="R20" s="15"/>
      <c r="S20" s="225"/>
      <c r="T20" s="310"/>
    </row>
    <row r="21" spans="1:20" ht="28.5" customHeight="1" x14ac:dyDescent="0.2">
      <c r="A21" s="223"/>
      <c r="B21" s="224"/>
      <c r="C21" s="13" t="s">
        <v>176</v>
      </c>
      <c r="D21" s="15"/>
      <c r="E21" s="15"/>
      <c r="F21" s="15"/>
      <c r="G21" s="225"/>
      <c r="H21" s="15"/>
      <c r="I21" s="15"/>
      <c r="J21" s="15"/>
      <c r="K21" s="225"/>
      <c r="L21" s="15"/>
      <c r="M21" s="15"/>
      <c r="N21" s="15"/>
      <c r="O21" s="225"/>
      <c r="P21" s="15"/>
      <c r="Q21" s="15"/>
      <c r="R21" s="15"/>
      <c r="S21" s="225"/>
      <c r="T21" s="310"/>
    </row>
    <row r="22" spans="1:20" ht="20.25" customHeight="1" x14ac:dyDescent="0.2">
      <c r="A22" s="221" t="s">
        <v>48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1"/>
      <c r="T22" s="63">
        <f>T19</f>
        <v>40</v>
      </c>
    </row>
    <row r="23" spans="1:20" ht="21.75" customHeight="1" x14ac:dyDescent="0.2">
      <c r="A23" s="352" t="s">
        <v>177</v>
      </c>
      <c r="B23" s="353"/>
      <c r="C23" s="226" t="s">
        <v>14</v>
      </c>
      <c r="D23" s="220" t="s">
        <v>31</v>
      </c>
      <c r="E23" s="220"/>
      <c r="F23" s="220"/>
      <c r="G23" s="220"/>
      <c r="H23" s="220" t="s">
        <v>32</v>
      </c>
      <c r="I23" s="220"/>
      <c r="J23" s="220"/>
      <c r="K23" s="220"/>
      <c r="L23" s="220" t="s">
        <v>33</v>
      </c>
      <c r="M23" s="220"/>
      <c r="N23" s="220"/>
      <c r="O23" s="220"/>
      <c r="P23" s="220" t="s">
        <v>34</v>
      </c>
      <c r="Q23" s="220"/>
      <c r="R23" s="220"/>
      <c r="S23" s="220"/>
      <c r="T23" s="311" t="s">
        <v>171</v>
      </c>
    </row>
    <row r="24" spans="1:20" ht="21.75" customHeight="1" x14ac:dyDescent="0.2">
      <c r="A24" s="354"/>
      <c r="B24" s="355"/>
      <c r="C24" s="225"/>
      <c r="D24" s="227" t="s">
        <v>37</v>
      </c>
      <c r="E24" s="228"/>
      <c r="F24" s="228"/>
      <c r="G24" s="229"/>
      <c r="H24" s="227" t="s">
        <v>37</v>
      </c>
      <c r="I24" s="228"/>
      <c r="J24" s="228"/>
      <c r="K24" s="229"/>
      <c r="L24" s="227" t="s">
        <v>37</v>
      </c>
      <c r="M24" s="228"/>
      <c r="N24" s="228"/>
      <c r="O24" s="229"/>
      <c r="P24" s="227" t="s">
        <v>37</v>
      </c>
      <c r="Q24" s="228"/>
      <c r="R24" s="228"/>
      <c r="S24" s="229"/>
      <c r="T24" s="312"/>
    </row>
    <row r="25" spans="1:20" ht="10.5" customHeight="1" x14ac:dyDescent="0.2">
      <c r="A25" s="223" t="s">
        <v>50</v>
      </c>
      <c r="B25" s="373" t="s">
        <v>51</v>
      </c>
      <c r="C25" s="22" t="s">
        <v>52</v>
      </c>
      <c r="D25" s="225">
        <v>40</v>
      </c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310">
        <f>(D25+H25+L25+P25+D26+H26+L26+P26)/4</f>
        <v>10</v>
      </c>
    </row>
    <row r="26" spans="1:20" ht="10.5" customHeight="1" x14ac:dyDescent="0.2">
      <c r="A26" s="223"/>
      <c r="B26" s="374"/>
      <c r="C26" s="23" t="s">
        <v>178</v>
      </c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310"/>
    </row>
    <row r="27" spans="1:20" ht="10.5" customHeight="1" x14ac:dyDescent="0.2">
      <c r="A27" s="223" t="s">
        <v>54</v>
      </c>
      <c r="B27" s="331" t="s">
        <v>55</v>
      </c>
      <c r="C27" s="23" t="s">
        <v>56</v>
      </c>
      <c r="D27" s="225">
        <v>40</v>
      </c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310">
        <f>(D27+H27+L27+P27+D28+H28+L28+P28)/4</f>
        <v>10</v>
      </c>
    </row>
    <row r="28" spans="1:20" ht="10.5" customHeight="1" x14ac:dyDescent="0.2">
      <c r="A28" s="223"/>
      <c r="B28" s="331"/>
      <c r="C28" s="23" t="s">
        <v>178</v>
      </c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310"/>
    </row>
    <row r="29" spans="1:20" ht="10.5" customHeight="1" x14ac:dyDescent="0.2">
      <c r="A29" s="223" t="s">
        <v>57</v>
      </c>
      <c r="B29" s="331" t="s">
        <v>58</v>
      </c>
      <c r="C29" s="13" t="s">
        <v>59</v>
      </c>
      <c r="D29" s="225">
        <v>40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310">
        <f>(D29+H29+L29+P29+D30+H30+L30+P30)/4</f>
        <v>10</v>
      </c>
    </row>
    <row r="30" spans="1:20" ht="10.5" customHeight="1" x14ac:dyDescent="0.2">
      <c r="A30" s="292"/>
      <c r="B30" s="375"/>
      <c r="C30" s="24" t="s">
        <v>179</v>
      </c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310"/>
    </row>
    <row r="31" spans="1:20" ht="10.5" customHeight="1" x14ac:dyDescent="0.2">
      <c r="A31" s="243" t="s">
        <v>61</v>
      </c>
      <c r="B31" s="325" t="s">
        <v>62</v>
      </c>
      <c r="C31" s="26" t="s">
        <v>63</v>
      </c>
      <c r="D31" s="225">
        <v>40</v>
      </c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313">
        <f>(D31+H31+L31+P31+D32+H32+L32+P32+D33+H33+L33+P33)/4</f>
        <v>10</v>
      </c>
    </row>
    <row r="32" spans="1:20" ht="10.5" customHeight="1" x14ac:dyDescent="0.2">
      <c r="A32" s="223"/>
      <c r="B32" s="331"/>
      <c r="C32" s="27" t="s">
        <v>180</v>
      </c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313"/>
    </row>
    <row r="33" spans="1:20" ht="10.5" customHeight="1" x14ac:dyDescent="0.2">
      <c r="A33" s="244"/>
      <c r="B33" s="326"/>
      <c r="C33" s="29" t="s">
        <v>181</v>
      </c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313"/>
    </row>
    <row r="34" spans="1:20" ht="18.75" customHeight="1" x14ac:dyDescent="0.2">
      <c r="A34" s="230" t="s">
        <v>66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2"/>
      <c r="T34" s="64">
        <f>T25+T27+T29+T31</f>
        <v>40</v>
      </c>
    </row>
    <row r="35" spans="1:20" ht="25.5" customHeight="1" x14ac:dyDescent="0.2">
      <c r="A35" s="233" t="s">
        <v>67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65">
        <f>T16+T22+T34</f>
        <v>122</v>
      </c>
    </row>
    <row r="36" spans="1:20" ht="18.75" customHeight="1" x14ac:dyDescent="0.2">
      <c r="A36" s="30" t="s">
        <v>182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6"/>
    </row>
    <row r="37" spans="1:20" ht="15" customHeight="1" x14ac:dyDescent="0.2">
      <c r="A37" s="32" t="s">
        <v>183</v>
      </c>
      <c r="B37" s="33"/>
      <c r="C37" s="33"/>
      <c r="D37" s="33"/>
      <c r="E37" s="33"/>
      <c r="F37" s="33"/>
      <c r="G37" s="33"/>
      <c r="H37" s="33"/>
      <c r="I37" s="33"/>
      <c r="J37" s="235" t="s">
        <v>184</v>
      </c>
      <c r="K37" s="235"/>
      <c r="L37" s="235"/>
      <c r="M37" s="235"/>
      <c r="N37" s="235"/>
      <c r="O37" s="236"/>
      <c r="P37" s="49" t="s">
        <v>185</v>
      </c>
      <c r="Q37" s="49" t="s">
        <v>186</v>
      </c>
      <c r="R37" s="67" t="s">
        <v>187</v>
      </c>
      <c r="S37" s="49" t="s">
        <v>188</v>
      </c>
      <c r="T37" s="68" t="s">
        <v>165</v>
      </c>
    </row>
    <row r="38" spans="1:20" ht="10.5" customHeight="1" x14ac:dyDescent="0.2">
      <c r="A38" s="293" t="s">
        <v>71</v>
      </c>
      <c r="B38" s="349" t="s">
        <v>189</v>
      </c>
      <c r="C38" s="240"/>
      <c r="D38" s="240"/>
      <c r="E38" s="240"/>
      <c r="F38" s="240"/>
      <c r="G38" s="240"/>
      <c r="H38" s="240"/>
      <c r="I38" s="240"/>
      <c r="J38" s="237" t="s">
        <v>190</v>
      </c>
      <c r="K38" s="237"/>
      <c r="L38" s="237"/>
      <c r="M38" s="237"/>
      <c r="N38" s="237"/>
      <c r="O38" s="237"/>
      <c r="P38" s="50"/>
      <c r="Q38" s="50"/>
      <c r="R38" s="50"/>
      <c r="S38" s="50"/>
      <c r="T38" s="69">
        <f>P38+Q38+R38+S38/4</f>
        <v>0</v>
      </c>
    </row>
    <row r="39" spans="1:20" ht="10.5" customHeight="1" x14ac:dyDescent="0.2">
      <c r="A39" s="294"/>
      <c r="B39" s="350"/>
      <c r="C39" s="350"/>
      <c r="D39" s="350"/>
      <c r="E39" s="350"/>
      <c r="F39" s="350"/>
      <c r="G39" s="350"/>
      <c r="H39" s="350"/>
      <c r="I39" s="350"/>
      <c r="J39" s="238" t="s">
        <v>191</v>
      </c>
      <c r="K39" s="238"/>
      <c r="L39" s="238"/>
      <c r="M39" s="238"/>
      <c r="N39" s="238"/>
      <c r="O39" s="238"/>
      <c r="P39" s="51"/>
      <c r="Q39" s="51"/>
      <c r="R39" s="51"/>
      <c r="S39" s="51"/>
      <c r="T39" s="69">
        <f t="shared" ref="T39:T43" si="1">P39+Q39+R39+S39/4</f>
        <v>0</v>
      </c>
    </row>
    <row r="40" spans="1:20" ht="10.5" customHeight="1" x14ac:dyDescent="0.2">
      <c r="A40" s="294"/>
      <c r="B40" s="350"/>
      <c r="C40" s="350"/>
      <c r="D40" s="350"/>
      <c r="E40" s="350"/>
      <c r="F40" s="350"/>
      <c r="G40" s="350"/>
      <c r="H40" s="350"/>
      <c r="I40" s="350"/>
      <c r="J40" s="238" t="s">
        <v>192</v>
      </c>
      <c r="K40" s="238"/>
      <c r="L40" s="238"/>
      <c r="M40" s="238"/>
      <c r="N40" s="238"/>
      <c r="O40" s="238"/>
      <c r="P40" s="51"/>
      <c r="Q40" s="51"/>
      <c r="R40" s="51"/>
      <c r="S40" s="51"/>
      <c r="T40" s="69">
        <f t="shared" si="1"/>
        <v>0</v>
      </c>
    </row>
    <row r="41" spans="1:20" ht="10.5" customHeight="1" x14ac:dyDescent="0.2">
      <c r="A41" s="294"/>
      <c r="B41" s="350"/>
      <c r="C41" s="350"/>
      <c r="D41" s="350"/>
      <c r="E41" s="350"/>
      <c r="F41" s="350"/>
      <c r="G41" s="350"/>
      <c r="H41" s="350"/>
      <c r="I41" s="350"/>
      <c r="J41" s="238" t="s">
        <v>193</v>
      </c>
      <c r="K41" s="238"/>
      <c r="L41" s="238"/>
      <c r="M41" s="238"/>
      <c r="N41" s="238"/>
      <c r="O41" s="238"/>
      <c r="P41" s="51"/>
      <c r="Q41" s="51"/>
      <c r="R41" s="51"/>
      <c r="S41" s="51"/>
      <c r="T41" s="69">
        <f t="shared" si="1"/>
        <v>0</v>
      </c>
    </row>
    <row r="42" spans="1:20" ht="10.5" customHeight="1" x14ac:dyDescent="0.2">
      <c r="A42" s="294"/>
      <c r="B42" s="350"/>
      <c r="C42" s="350"/>
      <c r="D42" s="350"/>
      <c r="E42" s="350"/>
      <c r="F42" s="350"/>
      <c r="G42" s="350"/>
      <c r="H42" s="350"/>
      <c r="I42" s="350"/>
      <c r="J42" s="238" t="s">
        <v>194</v>
      </c>
      <c r="K42" s="238"/>
      <c r="L42" s="238"/>
      <c r="M42" s="238"/>
      <c r="N42" s="238"/>
      <c r="O42" s="238"/>
      <c r="P42" s="51"/>
      <c r="Q42" s="51"/>
      <c r="R42" s="51"/>
      <c r="S42" s="51"/>
      <c r="T42" s="69">
        <f t="shared" si="1"/>
        <v>0</v>
      </c>
    </row>
    <row r="43" spans="1:20" ht="17.25" customHeight="1" x14ac:dyDescent="0.2">
      <c r="A43" s="295"/>
      <c r="B43" s="351"/>
      <c r="C43" s="351"/>
      <c r="D43" s="351"/>
      <c r="E43" s="351"/>
      <c r="F43" s="351"/>
      <c r="G43" s="351"/>
      <c r="H43" s="351"/>
      <c r="I43" s="351"/>
      <c r="J43" s="239" t="s">
        <v>195</v>
      </c>
      <c r="K43" s="239"/>
      <c r="L43" s="239"/>
      <c r="M43" s="239"/>
      <c r="N43" s="239"/>
      <c r="O43" s="239"/>
      <c r="P43" s="52"/>
      <c r="Q43" s="52"/>
      <c r="R43" s="52"/>
      <c r="S43" s="52"/>
      <c r="T43" s="69">
        <f t="shared" si="1"/>
        <v>0</v>
      </c>
    </row>
    <row r="44" spans="1:20" ht="16.5" customHeight="1" x14ac:dyDescent="0.2">
      <c r="A44" s="34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53"/>
      <c r="M44" s="53"/>
      <c r="N44" s="53"/>
      <c r="O44" s="54"/>
      <c r="P44" s="55"/>
      <c r="Q44" s="55"/>
      <c r="R44" s="55"/>
      <c r="S44" s="55"/>
      <c r="T44" s="70">
        <f>T38+T39+T40+T41+T42+T43</f>
        <v>0</v>
      </c>
    </row>
    <row r="45" spans="1:20" ht="11.25" customHeight="1" x14ac:dyDescent="0.2">
      <c r="A45" s="243" t="s">
        <v>79</v>
      </c>
      <c r="B45" s="226" t="s">
        <v>80</v>
      </c>
      <c r="C45" s="220"/>
      <c r="D45" s="220"/>
      <c r="E45" s="220"/>
      <c r="F45" s="220"/>
      <c r="G45" s="220"/>
      <c r="H45" s="220"/>
      <c r="I45" s="220"/>
      <c r="J45" s="237" t="s">
        <v>94</v>
      </c>
      <c r="K45" s="237"/>
      <c r="L45" s="237"/>
      <c r="M45" s="237"/>
      <c r="N45" s="237"/>
      <c r="O45" s="237"/>
      <c r="P45" s="50"/>
      <c r="Q45" s="50"/>
      <c r="R45" s="50"/>
      <c r="S45" s="50"/>
      <c r="T45" s="69">
        <f>P45+Q45+R45+S45</f>
        <v>0</v>
      </c>
    </row>
    <row r="46" spans="1:20" ht="11.25" customHeight="1" x14ac:dyDescent="0.2">
      <c r="A46" s="223"/>
      <c r="B46" s="216"/>
      <c r="C46" s="216"/>
      <c r="D46" s="216"/>
      <c r="E46" s="216"/>
      <c r="F46" s="216"/>
      <c r="G46" s="216"/>
      <c r="H46" s="216"/>
      <c r="I46" s="216"/>
      <c r="J46" s="238" t="s">
        <v>196</v>
      </c>
      <c r="K46" s="238"/>
      <c r="L46" s="238"/>
      <c r="M46" s="238"/>
      <c r="N46" s="238"/>
      <c r="O46" s="238"/>
      <c r="P46" s="51"/>
      <c r="Q46" s="51"/>
      <c r="R46" s="51"/>
      <c r="S46" s="51"/>
      <c r="T46" s="69">
        <f t="shared" ref="T46:T49" si="2">P46+Q46+R46+S46</f>
        <v>0</v>
      </c>
    </row>
    <row r="47" spans="1:20" ht="11.25" customHeight="1" x14ac:dyDescent="0.2">
      <c r="A47" s="223"/>
      <c r="B47" s="216"/>
      <c r="C47" s="216"/>
      <c r="D47" s="216"/>
      <c r="E47" s="216"/>
      <c r="F47" s="216"/>
      <c r="G47" s="216"/>
      <c r="H47" s="216"/>
      <c r="I47" s="216"/>
      <c r="J47" s="238" t="s">
        <v>197</v>
      </c>
      <c r="K47" s="238"/>
      <c r="L47" s="238"/>
      <c r="M47" s="238"/>
      <c r="N47" s="238"/>
      <c r="O47" s="238"/>
      <c r="P47" s="51"/>
      <c r="Q47" s="51"/>
      <c r="R47" s="51"/>
      <c r="S47" s="51"/>
      <c r="T47" s="69">
        <f t="shared" si="2"/>
        <v>0</v>
      </c>
    </row>
    <row r="48" spans="1:20" ht="11.25" customHeight="1" x14ac:dyDescent="0.2">
      <c r="A48" s="223"/>
      <c r="B48" s="216"/>
      <c r="C48" s="216"/>
      <c r="D48" s="216"/>
      <c r="E48" s="216"/>
      <c r="F48" s="216"/>
      <c r="G48" s="216"/>
      <c r="H48" s="216"/>
      <c r="I48" s="216"/>
      <c r="J48" s="238" t="s">
        <v>198</v>
      </c>
      <c r="K48" s="238"/>
      <c r="L48" s="238"/>
      <c r="M48" s="238"/>
      <c r="N48" s="238"/>
      <c r="O48" s="238"/>
      <c r="P48" s="51"/>
      <c r="Q48" s="51"/>
      <c r="R48" s="51"/>
      <c r="S48" s="51"/>
      <c r="T48" s="69">
        <f t="shared" si="2"/>
        <v>0</v>
      </c>
    </row>
    <row r="49" spans="1:20" ht="11.25" customHeight="1" x14ac:dyDescent="0.2">
      <c r="A49" s="223"/>
      <c r="B49" s="216"/>
      <c r="C49" s="216"/>
      <c r="D49" s="216"/>
      <c r="E49" s="216"/>
      <c r="F49" s="216"/>
      <c r="G49" s="216"/>
      <c r="H49" s="216"/>
      <c r="I49" s="216"/>
      <c r="J49" s="238" t="s">
        <v>199</v>
      </c>
      <c r="K49" s="238"/>
      <c r="L49" s="238"/>
      <c r="M49" s="238"/>
      <c r="N49" s="238"/>
      <c r="O49" s="238"/>
      <c r="P49" s="51"/>
      <c r="Q49" s="51"/>
      <c r="R49" s="51"/>
      <c r="S49" s="51"/>
      <c r="T49" s="69">
        <f t="shared" si="2"/>
        <v>0</v>
      </c>
    </row>
    <row r="50" spans="1:20" ht="18.75" customHeight="1" x14ac:dyDescent="0.2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56"/>
      <c r="M50" s="56"/>
      <c r="N50" s="56"/>
      <c r="O50" s="56"/>
      <c r="P50" s="57"/>
      <c r="Q50" s="55"/>
      <c r="R50" s="55"/>
      <c r="S50" s="71"/>
      <c r="T50" s="72">
        <f>T45+T46+T47+T48+T49</f>
        <v>0</v>
      </c>
    </row>
    <row r="51" spans="1:20" ht="18.75" customHeight="1" x14ac:dyDescent="0.2">
      <c r="A51" s="243" t="s">
        <v>81</v>
      </c>
      <c r="B51" s="226" t="s">
        <v>82</v>
      </c>
      <c r="C51" s="220"/>
      <c r="D51" s="220"/>
      <c r="E51" s="220"/>
      <c r="F51" s="220"/>
      <c r="G51" s="220"/>
      <c r="H51" s="220"/>
      <c r="I51" s="220"/>
      <c r="J51" s="237" t="s">
        <v>94</v>
      </c>
      <c r="K51" s="237"/>
      <c r="L51" s="237"/>
      <c r="M51" s="237"/>
      <c r="N51" s="237"/>
      <c r="O51" s="237"/>
      <c r="P51" s="50"/>
      <c r="Q51" s="50"/>
      <c r="R51" s="50"/>
      <c r="S51" s="50"/>
      <c r="T51" s="69">
        <f>P51+Q51+R51+S51</f>
        <v>0</v>
      </c>
    </row>
    <row r="52" spans="1:20" ht="18.75" customHeight="1" x14ac:dyDescent="0.2">
      <c r="A52" s="223"/>
      <c r="B52" s="216"/>
      <c r="C52" s="216"/>
      <c r="D52" s="216"/>
      <c r="E52" s="216"/>
      <c r="F52" s="216"/>
      <c r="G52" s="216"/>
      <c r="H52" s="216"/>
      <c r="I52" s="216"/>
      <c r="J52" s="238" t="s">
        <v>196</v>
      </c>
      <c r="K52" s="238"/>
      <c r="L52" s="238"/>
      <c r="M52" s="238"/>
      <c r="N52" s="238"/>
      <c r="O52" s="238"/>
      <c r="P52" s="51"/>
      <c r="Q52" s="51"/>
      <c r="R52" s="51"/>
      <c r="S52" s="51"/>
      <c r="T52" s="69">
        <f t="shared" ref="T52:T55" si="3">P52+Q52+R52+S52</f>
        <v>0</v>
      </c>
    </row>
    <row r="53" spans="1:20" ht="18.75" customHeight="1" x14ac:dyDescent="0.2">
      <c r="A53" s="223"/>
      <c r="B53" s="216"/>
      <c r="C53" s="216"/>
      <c r="D53" s="216"/>
      <c r="E53" s="216"/>
      <c r="F53" s="216"/>
      <c r="G53" s="216"/>
      <c r="H53" s="216"/>
      <c r="I53" s="216"/>
      <c r="J53" s="238" t="s">
        <v>197</v>
      </c>
      <c r="K53" s="238"/>
      <c r="L53" s="238"/>
      <c r="M53" s="238"/>
      <c r="N53" s="238"/>
      <c r="O53" s="238"/>
      <c r="P53" s="51"/>
      <c r="Q53" s="51"/>
      <c r="R53" s="51"/>
      <c r="S53" s="51"/>
      <c r="T53" s="69">
        <f t="shared" si="3"/>
        <v>0</v>
      </c>
    </row>
    <row r="54" spans="1:20" ht="18.75" customHeight="1" x14ac:dyDescent="0.2">
      <c r="A54" s="223"/>
      <c r="B54" s="216"/>
      <c r="C54" s="216"/>
      <c r="D54" s="216"/>
      <c r="E54" s="216"/>
      <c r="F54" s="216"/>
      <c r="G54" s="216"/>
      <c r="H54" s="216"/>
      <c r="I54" s="216"/>
      <c r="J54" s="238" t="s">
        <v>198</v>
      </c>
      <c r="K54" s="238"/>
      <c r="L54" s="238"/>
      <c r="M54" s="238"/>
      <c r="N54" s="238"/>
      <c r="O54" s="238"/>
      <c r="P54" s="51"/>
      <c r="Q54" s="51"/>
      <c r="R54" s="51"/>
      <c r="S54" s="51"/>
      <c r="T54" s="69">
        <f t="shared" si="3"/>
        <v>0</v>
      </c>
    </row>
    <row r="55" spans="1:20" ht="18.75" customHeight="1" x14ac:dyDescent="0.2">
      <c r="A55" s="223"/>
      <c r="B55" s="216"/>
      <c r="C55" s="216"/>
      <c r="D55" s="216"/>
      <c r="E55" s="216"/>
      <c r="F55" s="216"/>
      <c r="G55" s="216"/>
      <c r="H55" s="216"/>
      <c r="I55" s="216"/>
      <c r="J55" s="238" t="s">
        <v>199</v>
      </c>
      <c r="K55" s="238"/>
      <c r="L55" s="238"/>
      <c r="M55" s="238"/>
      <c r="N55" s="238"/>
      <c r="O55" s="238"/>
      <c r="P55" s="51"/>
      <c r="Q55" s="51"/>
      <c r="R55" s="51"/>
      <c r="S55" s="51"/>
      <c r="T55" s="69">
        <f t="shared" si="3"/>
        <v>0</v>
      </c>
    </row>
    <row r="56" spans="1:20" ht="18.75" customHeight="1" x14ac:dyDescent="0.2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56"/>
      <c r="M56" s="56"/>
      <c r="N56" s="56"/>
      <c r="O56" s="56"/>
      <c r="P56" s="57"/>
      <c r="Q56" s="55"/>
      <c r="R56" s="55"/>
      <c r="S56" s="71"/>
      <c r="T56" s="72">
        <f>T51+T52+T53+T54+T55</f>
        <v>0</v>
      </c>
    </row>
    <row r="57" spans="1:20" ht="9.75" customHeight="1" x14ac:dyDescent="0.2">
      <c r="A57" s="243" t="s">
        <v>83</v>
      </c>
      <c r="B57" s="255" t="s">
        <v>200</v>
      </c>
      <c r="C57" s="255"/>
      <c r="D57" s="255"/>
      <c r="E57" s="255"/>
      <c r="F57" s="255"/>
      <c r="G57" s="255"/>
      <c r="H57" s="255"/>
      <c r="I57" s="255"/>
      <c r="J57" s="237" t="s">
        <v>201</v>
      </c>
      <c r="K57" s="237"/>
      <c r="L57" s="237"/>
      <c r="M57" s="237"/>
      <c r="N57" s="237"/>
      <c r="O57" s="237"/>
      <c r="P57" s="50"/>
      <c r="Q57" s="50"/>
      <c r="R57" s="50"/>
      <c r="S57" s="50"/>
      <c r="T57" s="69">
        <f>P57+Q57+R57+S57</f>
        <v>0</v>
      </c>
    </row>
    <row r="58" spans="1:20" ht="9.75" customHeight="1" x14ac:dyDescent="0.2">
      <c r="A58" s="223"/>
      <c r="B58" s="219"/>
      <c r="C58" s="219"/>
      <c r="D58" s="219"/>
      <c r="E58" s="219"/>
      <c r="F58" s="219"/>
      <c r="G58" s="219"/>
      <c r="H58" s="219"/>
      <c r="I58" s="219"/>
      <c r="J58" s="238" t="s">
        <v>202</v>
      </c>
      <c r="K58" s="238"/>
      <c r="L58" s="238"/>
      <c r="M58" s="238"/>
      <c r="N58" s="238"/>
      <c r="O58" s="238"/>
      <c r="P58" s="51"/>
      <c r="Q58" s="51"/>
      <c r="R58" s="51"/>
      <c r="S58" s="51"/>
      <c r="T58" s="69">
        <f t="shared" ref="T58:T61" si="4">P58+Q58+R58+S58</f>
        <v>0</v>
      </c>
    </row>
    <row r="59" spans="1:20" ht="9.75" customHeight="1" x14ac:dyDescent="0.2">
      <c r="A59" s="223"/>
      <c r="B59" s="219"/>
      <c r="C59" s="219"/>
      <c r="D59" s="219"/>
      <c r="E59" s="219"/>
      <c r="F59" s="219"/>
      <c r="G59" s="219"/>
      <c r="H59" s="219"/>
      <c r="I59" s="219"/>
      <c r="J59" s="238" t="s">
        <v>203</v>
      </c>
      <c r="K59" s="238"/>
      <c r="L59" s="238"/>
      <c r="M59" s="238"/>
      <c r="N59" s="238"/>
      <c r="O59" s="238"/>
      <c r="P59" s="51"/>
      <c r="Q59" s="51"/>
      <c r="R59" s="51"/>
      <c r="S59" s="51"/>
      <c r="T59" s="69">
        <f t="shared" si="4"/>
        <v>0</v>
      </c>
    </row>
    <row r="60" spans="1:20" ht="9.75" customHeight="1" x14ac:dyDescent="0.2">
      <c r="A60" s="223"/>
      <c r="B60" s="219"/>
      <c r="C60" s="219"/>
      <c r="D60" s="219"/>
      <c r="E60" s="219"/>
      <c r="F60" s="219"/>
      <c r="G60" s="219"/>
      <c r="H60" s="219"/>
      <c r="I60" s="219"/>
      <c r="J60" s="238" t="s">
        <v>204</v>
      </c>
      <c r="K60" s="238"/>
      <c r="L60" s="238"/>
      <c r="M60" s="238"/>
      <c r="N60" s="238"/>
      <c r="O60" s="238"/>
      <c r="P60" s="51"/>
      <c r="Q60" s="51"/>
      <c r="R60" s="51"/>
      <c r="S60" s="51"/>
      <c r="T60" s="69">
        <f t="shared" si="4"/>
        <v>0</v>
      </c>
    </row>
    <row r="61" spans="1:20" ht="78" customHeight="1" x14ac:dyDescent="0.2">
      <c r="A61" s="244"/>
      <c r="B61" s="256"/>
      <c r="C61" s="256"/>
      <c r="D61" s="256"/>
      <c r="E61" s="256"/>
      <c r="F61" s="256"/>
      <c r="G61" s="256"/>
      <c r="H61" s="256"/>
      <c r="I61" s="256"/>
      <c r="J61" s="245" t="s">
        <v>205</v>
      </c>
      <c r="K61" s="245"/>
      <c r="L61" s="245"/>
      <c r="M61" s="245"/>
      <c r="N61" s="245"/>
      <c r="O61" s="245"/>
      <c r="P61" s="52"/>
      <c r="Q61" s="52"/>
      <c r="R61" s="52"/>
      <c r="S61" s="52"/>
      <c r="T61" s="69">
        <f t="shared" si="4"/>
        <v>0</v>
      </c>
    </row>
    <row r="62" spans="1:20" ht="16.5" customHeight="1" x14ac:dyDescent="0.2">
      <c r="A62" s="3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56"/>
      <c r="M62" s="56"/>
      <c r="N62" s="56"/>
      <c r="O62" s="56"/>
      <c r="P62" s="57"/>
      <c r="Q62" s="55"/>
      <c r="R62" s="55"/>
      <c r="S62" s="71"/>
      <c r="T62" s="73">
        <f>T57+T58+T59+T61</f>
        <v>0</v>
      </c>
    </row>
    <row r="63" spans="1:20" ht="18" customHeight="1" x14ac:dyDescent="0.2">
      <c r="A63" s="243" t="s">
        <v>89</v>
      </c>
      <c r="B63" s="249" t="s">
        <v>88</v>
      </c>
      <c r="C63" s="250"/>
      <c r="D63" s="250"/>
      <c r="E63" s="250"/>
      <c r="F63" s="250"/>
      <c r="G63" s="250"/>
      <c r="H63" s="250"/>
      <c r="I63" s="250"/>
      <c r="J63" s="237" t="s">
        <v>206</v>
      </c>
      <c r="K63" s="237"/>
      <c r="L63" s="237"/>
      <c r="M63" s="237"/>
      <c r="N63" s="237"/>
      <c r="O63" s="237"/>
      <c r="P63" s="50"/>
      <c r="Q63" s="50"/>
      <c r="R63" s="50"/>
      <c r="S63" s="50"/>
      <c r="T63" s="74">
        <f>P63+Q63+R63+S63</f>
        <v>0</v>
      </c>
    </row>
    <row r="64" spans="1:20" ht="10.5" customHeight="1" x14ac:dyDescent="0.2">
      <c r="A64" s="223"/>
      <c r="B64" s="251"/>
      <c r="C64" s="252"/>
      <c r="D64" s="252"/>
      <c r="E64" s="252"/>
      <c r="F64" s="252"/>
      <c r="G64" s="252"/>
      <c r="H64" s="252"/>
      <c r="I64" s="252"/>
      <c r="J64" s="238" t="s">
        <v>207</v>
      </c>
      <c r="K64" s="238"/>
      <c r="L64" s="238"/>
      <c r="M64" s="238"/>
      <c r="N64" s="238"/>
      <c r="O64" s="238"/>
      <c r="P64" s="51"/>
      <c r="Q64" s="51"/>
      <c r="R64" s="51"/>
      <c r="S64" s="51"/>
      <c r="T64" s="74">
        <f t="shared" ref="T64:T67" si="5">P64+Q64+R64+S64</f>
        <v>0</v>
      </c>
    </row>
    <row r="65" spans="1:20" ht="10.5" customHeight="1" x14ac:dyDescent="0.2">
      <c r="A65" s="223"/>
      <c r="B65" s="251"/>
      <c r="C65" s="252"/>
      <c r="D65" s="252"/>
      <c r="E65" s="252"/>
      <c r="F65" s="252"/>
      <c r="G65" s="252"/>
      <c r="H65" s="252"/>
      <c r="I65" s="252"/>
      <c r="J65" s="238" t="s">
        <v>208</v>
      </c>
      <c r="K65" s="238"/>
      <c r="L65" s="238"/>
      <c r="M65" s="238"/>
      <c r="N65" s="238"/>
      <c r="O65" s="238"/>
      <c r="P65" s="51"/>
      <c r="Q65" s="51"/>
      <c r="R65" s="51"/>
      <c r="S65" s="51"/>
      <c r="T65" s="74">
        <f t="shared" si="5"/>
        <v>0</v>
      </c>
    </row>
    <row r="66" spans="1:20" ht="10.5" customHeight="1" x14ac:dyDescent="0.2">
      <c r="A66" s="223"/>
      <c r="B66" s="251"/>
      <c r="C66" s="252"/>
      <c r="D66" s="252"/>
      <c r="E66" s="252"/>
      <c r="F66" s="252"/>
      <c r="G66" s="252"/>
      <c r="H66" s="252"/>
      <c r="I66" s="252"/>
      <c r="J66" s="238" t="s">
        <v>209</v>
      </c>
      <c r="K66" s="238"/>
      <c r="L66" s="238"/>
      <c r="M66" s="238"/>
      <c r="N66" s="238"/>
      <c r="O66" s="238"/>
      <c r="P66" s="51"/>
      <c r="Q66" s="51"/>
      <c r="R66" s="51"/>
      <c r="S66" s="51"/>
      <c r="T66" s="74">
        <f t="shared" si="5"/>
        <v>0</v>
      </c>
    </row>
    <row r="67" spans="1:20" ht="13.5" customHeight="1" x14ac:dyDescent="0.2">
      <c r="A67" s="244"/>
      <c r="B67" s="253"/>
      <c r="C67" s="254"/>
      <c r="D67" s="254"/>
      <c r="E67" s="254"/>
      <c r="F67" s="254"/>
      <c r="G67" s="254"/>
      <c r="H67" s="254"/>
      <c r="I67" s="254"/>
      <c r="J67" s="239" t="s">
        <v>210</v>
      </c>
      <c r="K67" s="239"/>
      <c r="L67" s="239"/>
      <c r="M67" s="239"/>
      <c r="N67" s="239"/>
      <c r="O67" s="239"/>
      <c r="P67" s="52"/>
      <c r="Q67" s="52"/>
      <c r="R67" s="52"/>
      <c r="S67" s="52"/>
      <c r="T67" s="74">
        <f t="shared" si="5"/>
        <v>0</v>
      </c>
    </row>
    <row r="68" spans="1:20" ht="21.75" customHeight="1" x14ac:dyDescent="0.2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56"/>
      <c r="M68" s="56"/>
      <c r="N68" s="56"/>
      <c r="O68" s="56"/>
      <c r="P68" s="57"/>
      <c r="Q68" s="55"/>
      <c r="R68" s="55"/>
      <c r="S68" s="71"/>
      <c r="T68" s="114">
        <f>T63+T64+T66+T67</f>
        <v>0</v>
      </c>
    </row>
    <row r="69" spans="1:20" ht="12" customHeight="1" x14ac:dyDescent="0.2">
      <c r="A69" s="243" t="s">
        <v>87</v>
      </c>
      <c r="B69" s="255" t="s">
        <v>90</v>
      </c>
      <c r="C69" s="255"/>
      <c r="D69" s="255"/>
      <c r="E69" s="255"/>
      <c r="F69" s="255"/>
      <c r="G69" s="255"/>
      <c r="H69" s="255"/>
      <c r="I69" s="255"/>
      <c r="J69" s="237" t="s">
        <v>207</v>
      </c>
      <c r="K69" s="237"/>
      <c r="L69" s="237"/>
      <c r="M69" s="237"/>
      <c r="N69" s="237"/>
      <c r="O69" s="237"/>
      <c r="P69" s="50"/>
      <c r="Q69" s="50"/>
      <c r="R69" s="50"/>
      <c r="S69" s="69"/>
      <c r="T69" s="115">
        <f>P69+Q69+R69+S69</f>
        <v>0</v>
      </c>
    </row>
    <row r="70" spans="1:20" ht="12" customHeight="1" x14ac:dyDescent="0.2">
      <c r="A70" s="223"/>
      <c r="B70" s="219"/>
      <c r="C70" s="219"/>
      <c r="D70" s="219"/>
      <c r="E70" s="219"/>
      <c r="F70" s="219"/>
      <c r="G70" s="219"/>
      <c r="H70" s="219"/>
      <c r="I70" s="219"/>
      <c r="J70" s="238" t="s">
        <v>211</v>
      </c>
      <c r="K70" s="238"/>
      <c r="L70" s="238"/>
      <c r="M70" s="238"/>
      <c r="N70" s="238"/>
      <c r="O70" s="238"/>
      <c r="P70" s="16"/>
      <c r="Q70" s="116"/>
      <c r="R70" s="51"/>
      <c r="S70" s="117"/>
      <c r="T70" s="115">
        <f t="shared" ref="T70:T72" si="6">P70+Q70+R70+S70</f>
        <v>0</v>
      </c>
    </row>
    <row r="71" spans="1:20" ht="12" customHeight="1" x14ac:dyDescent="0.2">
      <c r="A71" s="223"/>
      <c r="B71" s="219"/>
      <c r="C71" s="219"/>
      <c r="D71" s="219"/>
      <c r="E71" s="219"/>
      <c r="F71" s="219"/>
      <c r="G71" s="219"/>
      <c r="H71" s="219"/>
      <c r="I71" s="219"/>
      <c r="J71" s="238" t="s">
        <v>203</v>
      </c>
      <c r="K71" s="238"/>
      <c r="L71" s="238"/>
      <c r="M71" s="238"/>
      <c r="N71" s="238"/>
      <c r="O71" s="238"/>
      <c r="P71" s="16"/>
      <c r="Q71" s="116"/>
      <c r="R71" s="51"/>
      <c r="S71" s="117"/>
      <c r="T71" s="115">
        <f t="shared" si="6"/>
        <v>0</v>
      </c>
    </row>
    <row r="72" spans="1:20" ht="12" customHeight="1" x14ac:dyDescent="0.2">
      <c r="A72" s="244"/>
      <c r="B72" s="256"/>
      <c r="C72" s="256"/>
      <c r="D72" s="256"/>
      <c r="E72" s="256"/>
      <c r="F72" s="256"/>
      <c r="G72" s="256"/>
      <c r="H72" s="256"/>
      <c r="I72" s="256"/>
      <c r="J72" s="239" t="s">
        <v>212</v>
      </c>
      <c r="K72" s="239"/>
      <c r="L72" s="239"/>
      <c r="M72" s="239"/>
      <c r="N72" s="239"/>
      <c r="O72" s="239"/>
      <c r="P72" s="96"/>
      <c r="Q72" s="118"/>
      <c r="R72" s="52"/>
      <c r="S72" s="119"/>
      <c r="T72" s="115">
        <f t="shared" si="6"/>
        <v>0</v>
      </c>
    </row>
    <row r="73" spans="1:20" ht="9.75" customHeight="1" x14ac:dyDescent="0.2">
      <c r="A73" s="37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56"/>
      <c r="M73" s="56"/>
      <c r="N73" s="56"/>
      <c r="O73" s="56"/>
      <c r="P73" s="97"/>
      <c r="Q73" s="120"/>
      <c r="R73" s="121"/>
      <c r="S73" s="121"/>
      <c r="T73" s="122">
        <f>T69+T70+T71+T72</f>
        <v>0</v>
      </c>
    </row>
    <row r="74" spans="1:20" ht="21.75" customHeight="1" x14ac:dyDescent="0.2">
      <c r="A74" s="246" t="s">
        <v>213</v>
      </c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8"/>
      <c r="T74" s="123">
        <f>T44+T50+T62+T73</f>
        <v>0</v>
      </c>
    </row>
    <row r="75" spans="1:20" ht="9" customHeight="1" x14ac:dyDescent="0.2">
      <c r="A75" s="364" t="s">
        <v>214</v>
      </c>
      <c r="B75" s="365"/>
      <c r="C75" s="366"/>
      <c r="D75" s="370" t="s">
        <v>14</v>
      </c>
      <c r="E75" s="371"/>
      <c r="F75" s="371"/>
      <c r="G75" s="371"/>
      <c r="H75" s="365"/>
      <c r="I75" s="365"/>
      <c r="J75" s="365"/>
      <c r="K75" s="366"/>
      <c r="L75" s="220" t="s">
        <v>185</v>
      </c>
      <c r="M75" s="220"/>
      <c r="N75" s="226" t="s">
        <v>186</v>
      </c>
      <c r="O75" s="226"/>
      <c r="P75" s="240" t="s">
        <v>187</v>
      </c>
      <c r="Q75" s="240"/>
      <c r="R75" s="241" t="s">
        <v>188</v>
      </c>
      <c r="S75" s="242"/>
      <c r="T75" s="314" t="s">
        <v>215</v>
      </c>
    </row>
    <row r="76" spans="1:20" ht="17.25" customHeight="1" x14ac:dyDescent="0.2">
      <c r="A76" s="367"/>
      <c r="B76" s="368"/>
      <c r="C76" s="369"/>
      <c r="D76" s="372"/>
      <c r="E76" s="368"/>
      <c r="F76" s="368"/>
      <c r="G76" s="368"/>
      <c r="H76" s="368"/>
      <c r="I76" s="368"/>
      <c r="J76" s="368"/>
      <c r="K76" s="369"/>
      <c r="L76" s="47" t="s">
        <v>216</v>
      </c>
      <c r="M76" s="47" t="s">
        <v>217</v>
      </c>
      <c r="N76" s="47" t="s">
        <v>216</v>
      </c>
      <c r="O76" s="47" t="s">
        <v>217</v>
      </c>
      <c r="P76" s="18" t="s">
        <v>216</v>
      </c>
      <c r="Q76" s="18" t="s">
        <v>217</v>
      </c>
      <c r="R76" s="18" t="s">
        <v>216</v>
      </c>
      <c r="S76" s="18" t="s">
        <v>217</v>
      </c>
      <c r="T76" s="315"/>
    </row>
    <row r="77" spans="1:20" ht="11.25" customHeight="1" x14ac:dyDescent="0.2">
      <c r="A77" s="223" t="s">
        <v>71</v>
      </c>
      <c r="B77" s="360" t="s">
        <v>218</v>
      </c>
      <c r="C77" s="361"/>
      <c r="D77" s="209" t="s">
        <v>219</v>
      </c>
      <c r="E77" s="209"/>
      <c r="F77" s="209"/>
      <c r="G77" s="209"/>
      <c r="H77" s="209"/>
      <c r="I77" s="209"/>
      <c r="J77" s="209"/>
      <c r="K77" s="209"/>
      <c r="L77" s="98"/>
      <c r="M77" s="98"/>
      <c r="N77" s="99"/>
      <c r="O77" s="99"/>
      <c r="P77" s="51"/>
      <c r="Q77" s="51"/>
      <c r="R77" s="51"/>
      <c r="S77" s="51"/>
      <c r="T77" s="117">
        <f>L77+M77+N77+O77+P77+Q77+R77+S77</f>
        <v>0</v>
      </c>
    </row>
    <row r="78" spans="1:20" ht="11.25" customHeight="1" x14ac:dyDescent="0.2">
      <c r="A78" s="223"/>
      <c r="B78" s="362"/>
      <c r="C78" s="363"/>
      <c r="D78" s="209" t="s">
        <v>220</v>
      </c>
      <c r="E78" s="209"/>
      <c r="F78" s="209"/>
      <c r="G78" s="209"/>
      <c r="H78" s="209"/>
      <c r="I78" s="209"/>
      <c r="J78" s="209"/>
      <c r="K78" s="209"/>
      <c r="L78" s="98"/>
      <c r="M78" s="98"/>
      <c r="N78" s="99"/>
      <c r="O78" s="99"/>
      <c r="P78" s="51"/>
      <c r="Q78" s="51"/>
      <c r="R78" s="51"/>
      <c r="S78" s="51"/>
      <c r="T78" s="117">
        <f t="shared" ref="T78:T81" si="7">L78+M78+N78+O78+P78+Q78+R78+S78</f>
        <v>0</v>
      </c>
    </row>
    <row r="79" spans="1:20" ht="11.25" customHeight="1" x14ac:dyDescent="0.2">
      <c r="A79" s="223"/>
      <c r="B79" s="362"/>
      <c r="C79" s="363"/>
      <c r="D79" s="209" t="s">
        <v>221</v>
      </c>
      <c r="E79" s="209"/>
      <c r="F79" s="209"/>
      <c r="G79" s="209"/>
      <c r="H79" s="209"/>
      <c r="I79" s="209"/>
      <c r="J79" s="209"/>
      <c r="K79" s="209"/>
      <c r="L79" s="98"/>
      <c r="M79" s="98"/>
      <c r="N79" s="99"/>
      <c r="O79" s="99"/>
      <c r="P79" s="51"/>
      <c r="Q79" s="51"/>
      <c r="R79" s="51"/>
      <c r="S79" s="51"/>
      <c r="T79" s="117">
        <f t="shared" si="7"/>
        <v>0</v>
      </c>
    </row>
    <row r="80" spans="1:20" ht="11.25" customHeight="1" x14ac:dyDescent="0.2">
      <c r="A80" s="223"/>
      <c r="B80" s="362"/>
      <c r="C80" s="363"/>
      <c r="D80" s="209" t="s">
        <v>222</v>
      </c>
      <c r="E80" s="209"/>
      <c r="F80" s="209"/>
      <c r="G80" s="209"/>
      <c r="H80" s="209"/>
      <c r="I80" s="209"/>
      <c r="J80" s="209"/>
      <c r="K80" s="209"/>
      <c r="L80" s="98"/>
      <c r="M80" s="98"/>
      <c r="N80" s="99"/>
      <c r="O80" s="99"/>
      <c r="P80" s="51"/>
      <c r="Q80" s="51"/>
      <c r="R80" s="51"/>
      <c r="S80" s="51"/>
      <c r="T80" s="117">
        <f t="shared" si="7"/>
        <v>0</v>
      </c>
    </row>
    <row r="81" spans="1:20" ht="11.25" customHeight="1" x14ac:dyDescent="0.2">
      <c r="A81" s="223"/>
      <c r="B81" s="362"/>
      <c r="C81" s="363"/>
      <c r="D81" s="219" t="s">
        <v>223</v>
      </c>
      <c r="E81" s="219"/>
      <c r="F81" s="219"/>
      <c r="G81" s="219"/>
      <c r="H81" s="219"/>
      <c r="I81" s="219"/>
      <c r="J81" s="219"/>
      <c r="K81" s="219"/>
      <c r="L81" s="98"/>
      <c r="M81" s="98"/>
      <c r="N81" s="16"/>
      <c r="O81" s="16"/>
      <c r="P81" s="16"/>
      <c r="Q81" s="116"/>
      <c r="R81" s="51"/>
      <c r="S81" s="51"/>
      <c r="T81" s="117">
        <f t="shared" si="7"/>
        <v>0</v>
      </c>
    </row>
    <row r="82" spans="1:20" ht="23.25" customHeight="1" x14ac:dyDescent="0.2">
      <c r="A82" s="76"/>
      <c r="B82" s="77"/>
      <c r="C82" s="78"/>
      <c r="D82" s="40"/>
      <c r="E82" s="41"/>
      <c r="F82" s="41"/>
      <c r="G82" s="41"/>
      <c r="H82" s="41"/>
      <c r="I82" s="41"/>
      <c r="J82" s="41"/>
      <c r="K82" s="41"/>
      <c r="L82" s="41"/>
      <c r="M82" s="100"/>
      <c r="N82" s="97"/>
      <c r="O82" s="97"/>
      <c r="P82" s="97"/>
      <c r="Q82" s="120"/>
      <c r="R82" s="124"/>
      <c r="S82" s="125"/>
      <c r="T82" s="70">
        <f>T77+T78+T79+T80+T81</f>
        <v>0</v>
      </c>
    </row>
    <row r="83" spans="1:20" ht="15" customHeight="1" x14ac:dyDescent="0.2">
      <c r="A83" s="243" t="s">
        <v>79</v>
      </c>
      <c r="B83" s="324" t="s">
        <v>224</v>
      </c>
      <c r="C83" s="325"/>
      <c r="D83" s="298" t="s">
        <v>225</v>
      </c>
      <c r="E83" s="298"/>
      <c r="F83" s="298"/>
      <c r="G83" s="298"/>
      <c r="H83" s="298"/>
      <c r="I83" s="298"/>
      <c r="J83" s="298"/>
      <c r="K83" s="298"/>
      <c r="L83" s="101">
        <v>5</v>
      </c>
      <c r="M83" s="101"/>
      <c r="N83" s="102"/>
      <c r="O83" s="102"/>
      <c r="P83" s="102"/>
      <c r="Q83" s="126"/>
      <c r="R83" s="126"/>
      <c r="S83" s="126"/>
      <c r="T83" s="69">
        <f>L83+M83+N83+O83+P83+Q83+R83+S83</f>
        <v>5</v>
      </c>
    </row>
    <row r="84" spans="1:20" ht="15" customHeight="1" x14ac:dyDescent="0.2">
      <c r="A84" s="223"/>
      <c r="B84" s="331"/>
      <c r="C84" s="331"/>
      <c r="D84" s="209" t="s">
        <v>226</v>
      </c>
      <c r="E84" s="209"/>
      <c r="F84" s="209"/>
      <c r="G84" s="209"/>
      <c r="H84" s="209"/>
      <c r="I84" s="209"/>
      <c r="J84" s="209"/>
      <c r="K84" s="209"/>
      <c r="L84" s="98"/>
      <c r="M84" s="98"/>
      <c r="N84" s="16"/>
      <c r="O84" s="16"/>
      <c r="P84" s="16"/>
      <c r="Q84" s="116"/>
      <c r="R84" s="116"/>
      <c r="S84" s="116"/>
      <c r="T84" s="69">
        <f t="shared" ref="T84:T87" si="8">L84+M84+N84+O84+P84+Q84+R84+S84</f>
        <v>0</v>
      </c>
    </row>
    <row r="85" spans="1:20" ht="15" customHeight="1" x14ac:dyDescent="0.2">
      <c r="A85" s="223"/>
      <c r="B85" s="331"/>
      <c r="C85" s="331"/>
      <c r="D85" s="209" t="s">
        <v>227</v>
      </c>
      <c r="E85" s="209"/>
      <c r="F85" s="209"/>
      <c r="G85" s="209"/>
      <c r="H85" s="209"/>
      <c r="I85" s="209"/>
      <c r="J85" s="209"/>
      <c r="K85" s="209"/>
      <c r="L85" s="98"/>
      <c r="M85" s="98"/>
      <c r="N85" s="16"/>
      <c r="O85" s="16"/>
      <c r="P85" s="16"/>
      <c r="Q85" s="116"/>
      <c r="R85" s="116"/>
      <c r="S85" s="116"/>
      <c r="T85" s="69">
        <f t="shared" si="8"/>
        <v>0</v>
      </c>
    </row>
    <row r="86" spans="1:20" ht="15" customHeight="1" x14ac:dyDescent="0.2">
      <c r="A86" s="223"/>
      <c r="B86" s="331"/>
      <c r="C86" s="331"/>
      <c r="D86" s="209" t="s">
        <v>228</v>
      </c>
      <c r="E86" s="209"/>
      <c r="F86" s="209"/>
      <c r="G86" s="209"/>
      <c r="H86" s="209"/>
      <c r="I86" s="209"/>
      <c r="J86" s="209"/>
      <c r="K86" s="209"/>
      <c r="L86" s="98"/>
      <c r="M86" s="98"/>
      <c r="N86" s="16"/>
      <c r="O86" s="16"/>
      <c r="P86" s="16"/>
      <c r="Q86" s="116"/>
      <c r="R86" s="116"/>
      <c r="S86" s="116"/>
      <c r="T86" s="69">
        <f t="shared" si="8"/>
        <v>0</v>
      </c>
    </row>
    <row r="87" spans="1:20" ht="15" customHeight="1" x14ac:dyDescent="0.2">
      <c r="A87" s="244"/>
      <c r="B87" s="326"/>
      <c r="C87" s="326"/>
      <c r="D87" s="256" t="s">
        <v>229</v>
      </c>
      <c r="E87" s="256"/>
      <c r="F87" s="256"/>
      <c r="G87" s="256"/>
      <c r="H87" s="256"/>
      <c r="I87" s="256"/>
      <c r="J87" s="256"/>
      <c r="K87" s="256"/>
      <c r="L87" s="103"/>
      <c r="M87" s="103"/>
      <c r="N87" s="96"/>
      <c r="O87" s="96"/>
      <c r="P87" s="96"/>
      <c r="Q87" s="118"/>
      <c r="R87" s="118"/>
      <c r="S87" s="118"/>
      <c r="T87" s="69">
        <f t="shared" si="8"/>
        <v>0</v>
      </c>
    </row>
    <row r="88" spans="1:20" ht="19.5" customHeight="1" x14ac:dyDescent="0.2">
      <c r="A88" s="76"/>
      <c r="B88" s="77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97"/>
      <c r="O88" s="97"/>
      <c r="P88" s="97"/>
      <c r="Q88" s="120"/>
      <c r="R88" s="124"/>
      <c r="S88" s="125"/>
      <c r="T88" s="127">
        <f>T83+T84+T85+T86+T87</f>
        <v>5</v>
      </c>
    </row>
    <row r="89" spans="1:20" ht="12" customHeight="1" x14ac:dyDescent="0.2">
      <c r="A89" s="243" t="s">
        <v>81</v>
      </c>
      <c r="B89" s="324" t="s">
        <v>100</v>
      </c>
      <c r="C89" s="324"/>
      <c r="D89" s="298" t="s">
        <v>230</v>
      </c>
      <c r="E89" s="298"/>
      <c r="F89" s="298"/>
      <c r="G89" s="298"/>
      <c r="H89" s="298"/>
      <c r="I89" s="298"/>
      <c r="J89" s="298"/>
      <c r="K89" s="298"/>
      <c r="L89" s="101">
        <v>5</v>
      </c>
      <c r="M89" s="101"/>
      <c r="N89" s="102"/>
      <c r="O89" s="102"/>
      <c r="P89" s="102"/>
      <c r="Q89" s="126"/>
      <c r="R89" s="126"/>
      <c r="S89" s="126"/>
      <c r="T89" s="128">
        <f>L89+M89+N89+O89+P89+Q89+R89+S89</f>
        <v>5</v>
      </c>
    </row>
    <row r="90" spans="1:20" ht="12" customHeight="1" x14ac:dyDescent="0.2">
      <c r="A90" s="223"/>
      <c r="B90" s="224"/>
      <c r="C90" s="224"/>
      <c r="D90" s="209" t="s">
        <v>231</v>
      </c>
      <c r="E90" s="209"/>
      <c r="F90" s="209"/>
      <c r="G90" s="209"/>
      <c r="H90" s="209"/>
      <c r="I90" s="209"/>
      <c r="J90" s="209"/>
      <c r="K90" s="209"/>
      <c r="L90" s="98"/>
      <c r="M90" s="98"/>
      <c r="N90" s="16"/>
      <c r="O90" s="16"/>
      <c r="P90" s="16"/>
      <c r="Q90" s="116"/>
      <c r="R90" s="116"/>
      <c r="S90" s="116"/>
      <c r="T90" s="128">
        <f t="shared" ref="T90:T92" si="9">L90+M90+N90+O90+P90+Q90+R90+S90</f>
        <v>0</v>
      </c>
    </row>
    <row r="91" spans="1:20" ht="12" customHeight="1" x14ac:dyDescent="0.2">
      <c r="A91" s="223"/>
      <c r="B91" s="224"/>
      <c r="C91" s="224"/>
      <c r="D91" s="209" t="s">
        <v>232</v>
      </c>
      <c r="E91" s="209"/>
      <c r="F91" s="209"/>
      <c r="G91" s="209"/>
      <c r="H91" s="209"/>
      <c r="I91" s="209"/>
      <c r="J91" s="209"/>
      <c r="K91" s="209"/>
      <c r="L91" s="98"/>
      <c r="M91" s="98"/>
      <c r="N91" s="16"/>
      <c r="O91" s="16"/>
      <c r="P91" s="16"/>
      <c r="Q91" s="116"/>
      <c r="R91" s="116"/>
      <c r="S91" s="116"/>
      <c r="T91" s="128">
        <f t="shared" si="9"/>
        <v>0</v>
      </c>
    </row>
    <row r="92" spans="1:20" ht="12" customHeight="1" x14ac:dyDescent="0.2">
      <c r="A92" s="244"/>
      <c r="B92" s="359"/>
      <c r="C92" s="359"/>
      <c r="D92" s="286" t="s">
        <v>233</v>
      </c>
      <c r="E92" s="286"/>
      <c r="F92" s="286"/>
      <c r="G92" s="286"/>
      <c r="H92" s="286"/>
      <c r="I92" s="286"/>
      <c r="J92" s="286"/>
      <c r="K92" s="286"/>
      <c r="L92" s="104"/>
      <c r="M92" s="104"/>
      <c r="N92" s="96"/>
      <c r="O92" s="96"/>
      <c r="P92" s="96"/>
      <c r="Q92" s="118"/>
      <c r="R92" s="118"/>
      <c r="S92" s="118"/>
      <c r="T92" s="128">
        <f t="shared" si="9"/>
        <v>0</v>
      </c>
    </row>
    <row r="93" spans="1:20" ht="12" customHeight="1" x14ac:dyDescent="0.2">
      <c r="A93" s="37"/>
      <c r="B93" s="80"/>
      <c r="C93" s="39"/>
      <c r="D93" s="81"/>
      <c r="E93" s="81"/>
      <c r="F93" s="81"/>
      <c r="G93" s="81"/>
      <c r="H93" s="81"/>
      <c r="I93" s="105"/>
      <c r="J93" s="105"/>
      <c r="K93" s="105"/>
      <c r="L93" s="81"/>
      <c r="M93" s="81"/>
      <c r="N93" s="97"/>
      <c r="O93" s="97"/>
      <c r="P93" s="97"/>
      <c r="Q93" s="75"/>
      <c r="R93" s="121"/>
      <c r="S93" s="124"/>
      <c r="T93" s="129">
        <f>T89+T90+T91+T92</f>
        <v>5</v>
      </c>
    </row>
    <row r="94" spans="1:20" ht="12.75" customHeight="1" x14ac:dyDescent="0.2">
      <c r="A94" s="296" t="s">
        <v>87</v>
      </c>
      <c r="B94" s="358" t="s">
        <v>101</v>
      </c>
      <c r="C94" s="358"/>
      <c r="D94" s="298" t="s">
        <v>234</v>
      </c>
      <c r="E94" s="298"/>
      <c r="F94" s="298"/>
      <c r="G94" s="298"/>
      <c r="H94" s="298"/>
      <c r="I94" s="298"/>
      <c r="J94" s="298"/>
      <c r="K94" s="298"/>
      <c r="L94" s="101"/>
      <c r="M94" s="101"/>
      <c r="N94" s="102"/>
      <c r="O94" s="102"/>
      <c r="P94" s="102"/>
      <c r="Q94" s="126"/>
      <c r="R94" s="126"/>
      <c r="S94" s="126"/>
      <c r="T94" s="128">
        <f>L94+M94+N94+O94+P94+Q94+R94+S94</f>
        <v>0</v>
      </c>
    </row>
    <row r="95" spans="1:20" ht="12.75" customHeight="1" x14ac:dyDescent="0.2">
      <c r="A95" s="297"/>
      <c r="B95" s="343"/>
      <c r="C95" s="343"/>
      <c r="D95" s="286"/>
      <c r="E95" s="286"/>
      <c r="F95" s="286"/>
      <c r="G95" s="286"/>
      <c r="H95" s="286"/>
      <c r="I95" s="286"/>
      <c r="J95" s="286"/>
      <c r="K95" s="286"/>
      <c r="L95" s="106"/>
      <c r="M95" s="106"/>
      <c r="N95" s="96"/>
      <c r="O95" s="96"/>
      <c r="P95" s="96"/>
      <c r="Q95" s="118"/>
      <c r="R95" s="118"/>
      <c r="S95" s="118"/>
      <c r="T95" s="130"/>
    </row>
    <row r="96" spans="1:20" ht="0.75" customHeight="1" x14ac:dyDescent="0.2">
      <c r="A96" s="82"/>
      <c r="B96" s="83"/>
      <c r="C96" s="8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97"/>
      <c r="O96" s="97"/>
      <c r="P96" s="97"/>
      <c r="Q96" s="75"/>
      <c r="R96" s="131"/>
      <c r="S96" s="131"/>
      <c r="T96" s="132">
        <f>T94+T95</f>
        <v>0</v>
      </c>
    </row>
    <row r="97" spans="1:20" ht="15.75" customHeight="1" x14ac:dyDescent="0.2">
      <c r="A97" s="85" t="s">
        <v>89</v>
      </c>
      <c r="B97" s="299" t="s">
        <v>102</v>
      </c>
      <c r="C97" s="300"/>
      <c r="D97" s="301" t="s">
        <v>235</v>
      </c>
      <c r="E97" s="301"/>
      <c r="F97" s="301"/>
      <c r="G97" s="301"/>
      <c r="H97" s="301"/>
      <c r="I97" s="301"/>
      <c r="J97" s="301"/>
      <c r="K97" s="301"/>
      <c r="L97" s="107"/>
      <c r="M97" s="107"/>
      <c r="N97" s="108"/>
      <c r="O97" s="108"/>
      <c r="P97" s="108"/>
      <c r="Q97" s="133"/>
      <c r="R97" s="133"/>
      <c r="S97" s="133"/>
      <c r="T97" s="134">
        <f>L97+M97+N97+O97+P97+Q97+R97+S97</f>
        <v>0</v>
      </c>
    </row>
    <row r="98" spans="1:20" ht="12.75" customHeight="1" x14ac:dyDescent="0.2">
      <c r="A98" s="302" t="s">
        <v>236</v>
      </c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89"/>
      <c r="T98" s="134">
        <f>T82+T88+T93+T94+T97</f>
        <v>10</v>
      </c>
    </row>
    <row r="99" spans="1:20" ht="24" customHeight="1" x14ac:dyDescent="0.2">
      <c r="A99" s="304" t="s">
        <v>237</v>
      </c>
      <c r="B99" s="305"/>
      <c r="C99" s="305"/>
      <c r="D99" s="305"/>
      <c r="E99" s="305"/>
      <c r="F99" s="306"/>
      <c r="G99" s="307" t="s">
        <v>184</v>
      </c>
      <c r="H99" s="216"/>
      <c r="I99" s="216"/>
      <c r="J99" s="216"/>
      <c r="K99" s="216"/>
      <c r="L99" s="216"/>
      <c r="M99" s="216"/>
      <c r="N99" s="216"/>
      <c r="O99" s="216"/>
      <c r="P99" s="50" t="s">
        <v>185</v>
      </c>
      <c r="Q99" s="50" t="s">
        <v>186</v>
      </c>
      <c r="R99" s="50" t="s">
        <v>187</v>
      </c>
      <c r="S99" s="50" t="s">
        <v>188</v>
      </c>
      <c r="T99" s="69" t="s">
        <v>165</v>
      </c>
    </row>
    <row r="100" spans="1:20" ht="12" customHeight="1" x14ac:dyDescent="0.2">
      <c r="A100" s="19" t="s">
        <v>238</v>
      </c>
      <c r="B100" s="308" t="s">
        <v>239</v>
      </c>
      <c r="C100" s="257"/>
      <c r="D100" s="257"/>
      <c r="E100" s="257"/>
      <c r="F100" s="257"/>
      <c r="G100" s="257" t="s">
        <v>240</v>
      </c>
      <c r="H100" s="257"/>
      <c r="I100" s="257"/>
      <c r="J100" s="257"/>
      <c r="K100" s="257"/>
      <c r="L100" s="257"/>
      <c r="M100" s="257"/>
      <c r="N100" s="257"/>
      <c r="O100" s="257"/>
      <c r="P100" s="16">
        <v>20</v>
      </c>
      <c r="Q100" s="116"/>
      <c r="R100" s="116"/>
      <c r="S100" s="116"/>
      <c r="T100" s="135">
        <f>P100+Q100+R100+S100</f>
        <v>20</v>
      </c>
    </row>
    <row r="101" spans="1:20" ht="9.75" customHeight="1" x14ac:dyDescent="0.2">
      <c r="A101" s="223" t="s">
        <v>241</v>
      </c>
      <c r="B101" s="262" t="s">
        <v>242</v>
      </c>
      <c r="C101" s="263"/>
      <c r="D101" s="263"/>
      <c r="E101" s="263"/>
      <c r="F101" s="263"/>
      <c r="G101" s="257" t="s">
        <v>243</v>
      </c>
      <c r="H101" s="257"/>
      <c r="I101" s="257"/>
      <c r="J101" s="257"/>
      <c r="K101" s="257"/>
      <c r="L101" s="257"/>
      <c r="M101" s="257"/>
      <c r="N101" s="257"/>
      <c r="O101" s="257"/>
      <c r="P101" s="16"/>
      <c r="Q101" s="116"/>
      <c r="R101" s="116"/>
      <c r="S101" s="116"/>
      <c r="T101" s="135">
        <f t="shared" ref="T101:T103" si="10">P101+Q101+R101+S101</f>
        <v>0</v>
      </c>
    </row>
    <row r="102" spans="1:20" ht="9.75" customHeight="1" x14ac:dyDescent="0.2">
      <c r="A102" s="223"/>
      <c r="B102" s="263"/>
      <c r="C102" s="263"/>
      <c r="D102" s="263"/>
      <c r="E102" s="263"/>
      <c r="F102" s="263"/>
      <c r="G102" s="257" t="s">
        <v>244</v>
      </c>
      <c r="H102" s="257"/>
      <c r="I102" s="257"/>
      <c r="J102" s="257"/>
      <c r="K102" s="257"/>
      <c r="L102" s="257"/>
      <c r="M102" s="257"/>
      <c r="N102" s="257"/>
      <c r="O102" s="257"/>
      <c r="P102" s="16"/>
      <c r="Q102" s="116"/>
      <c r="R102" s="116"/>
      <c r="S102" s="116"/>
      <c r="T102" s="135">
        <f t="shared" si="10"/>
        <v>0</v>
      </c>
    </row>
    <row r="103" spans="1:20" ht="9.75" customHeight="1" x14ac:dyDescent="0.2">
      <c r="A103" s="223"/>
      <c r="B103" s="263"/>
      <c r="C103" s="263"/>
      <c r="D103" s="263"/>
      <c r="E103" s="263"/>
      <c r="F103" s="263"/>
      <c r="G103" s="257" t="s">
        <v>245</v>
      </c>
      <c r="H103" s="257"/>
      <c r="I103" s="257"/>
      <c r="J103" s="257"/>
      <c r="K103" s="257"/>
      <c r="L103" s="257"/>
      <c r="M103" s="257"/>
      <c r="N103" s="257"/>
      <c r="O103" s="257"/>
      <c r="P103" s="16"/>
      <c r="Q103" s="116"/>
      <c r="R103" s="116"/>
      <c r="S103" s="116"/>
      <c r="T103" s="135">
        <f t="shared" si="10"/>
        <v>0</v>
      </c>
    </row>
    <row r="104" spans="1:20" ht="9" customHeight="1" x14ac:dyDescent="0.2">
      <c r="A104" s="19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23"/>
      <c r="M104" s="23"/>
      <c r="N104" s="23"/>
      <c r="O104" s="23"/>
      <c r="P104" s="16"/>
      <c r="Q104" s="116"/>
      <c r="R104" s="136"/>
      <c r="S104" s="136"/>
      <c r="T104" s="137">
        <f>T100+T101+T102+T103</f>
        <v>20</v>
      </c>
    </row>
    <row r="105" spans="1:20" ht="9.75" customHeight="1" x14ac:dyDescent="0.2">
      <c r="A105" s="223" t="s">
        <v>246</v>
      </c>
      <c r="B105" s="262" t="s">
        <v>247</v>
      </c>
      <c r="C105" s="263"/>
      <c r="D105" s="263"/>
      <c r="E105" s="263"/>
      <c r="F105" s="263"/>
      <c r="G105" s="238" t="s">
        <v>248</v>
      </c>
      <c r="H105" s="238"/>
      <c r="I105" s="238"/>
      <c r="J105" s="238"/>
      <c r="K105" s="238"/>
      <c r="L105" s="238"/>
      <c r="M105" s="238"/>
      <c r="N105" s="238"/>
      <c r="O105" s="238"/>
      <c r="P105" s="16"/>
      <c r="Q105" s="116"/>
      <c r="R105" s="116"/>
      <c r="S105" s="116"/>
      <c r="T105" s="135">
        <f>P105+Q105+R105+S105</f>
        <v>0</v>
      </c>
    </row>
    <row r="106" spans="1:20" ht="9.75" customHeight="1" x14ac:dyDescent="0.2">
      <c r="A106" s="223"/>
      <c r="B106" s="263"/>
      <c r="C106" s="263"/>
      <c r="D106" s="263"/>
      <c r="E106" s="263"/>
      <c r="F106" s="263"/>
      <c r="G106" s="238" t="s">
        <v>249</v>
      </c>
      <c r="H106" s="238"/>
      <c r="I106" s="238"/>
      <c r="J106" s="238"/>
      <c r="K106" s="238"/>
      <c r="L106" s="238"/>
      <c r="M106" s="238"/>
      <c r="N106" s="238"/>
      <c r="O106" s="238"/>
      <c r="P106" s="16"/>
      <c r="Q106" s="116"/>
      <c r="R106" s="116"/>
      <c r="S106" s="116"/>
      <c r="T106" s="135">
        <f t="shared" ref="T106:T112" si="11">P106+Q106+R106+S106</f>
        <v>0</v>
      </c>
    </row>
    <row r="107" spans="1:20" ht="9.75" customHeight="1" x14ac:dyDescent="0.2">
      <c r="A107" s="223"/>
      <c r="B107" s="263"/>
      <c r="C107" s="263"/>
      <c r="D107" s="263"/>
      <c r="E107" s="263"/>
      <c r="F107" s="263"/>
      <c r="G107" s="238" t="s">
        <v>250</v>
      </c>
      <c r="H107" s="238"/>
      <c r="I107" s="238"/>
      <c r="J107" s="238"/>
      <c r="K107" s="238"/>
      <c r="L107" s="238"/>
      <c r="M107" s="238"/>
      <c r="N107" s="238"/>
      <c r="O107" s="238"/>
      <c r="P107" s="16"/>
      <c r="Q107" s="116"/>
      <c r="R107" s="116"/>
      <c r="S107" s="116"/>
      <c r="T107" s="135">
        <f t="shared" si="11"/>
        <v>0</v>
      </c>
    </row>
    <row r="108" spans="1:20" ht="9.75" customHeight="1" x14ac:dyDescent="0.2">
      <c r="A108" s="223"/>
      <c r="B108" s="263"/>
      <c r="C108" s="263"/>
      <c r="D108" s="263"/>
      <c r="E108" s="263"/>
      <c r="F108" s="263"/>
      <c r="G108" s="238" t="s">
        <v>251</v>
      </c>
      <c r="H108" s="238"/>
      <c r="I108" s="238"/>
      <c r="J108" s="238"/>
      <c r="K108" s="238"/>
      <c r="L108" s="238"/>
      <c r="M108" s="238"/>
      <c r="N108" s="238"/>
      <c r="O108" s="238"/>
      <c r="P108" s="16"/>
      <c r="Q108" s="116"/>
      <c r="R108" s="116"/>
      <c r="S108" s="116"/>
      <c r="T108" s="135">
        <f t="shared" si="11"/>
        <v>0</v>
      </c>
    </row>
    <row r="109" spans="1:20" ht="9.75" customHeight="1" x14ac:dyDescent="0.2">
      <c r="A109" s="223"/>
      <c r="B109" s="263"/>
      <c r="C109" s="263"/>
      <c r="D109" s="263"/>
      <c r="E109" s="263"/>
      <c r="F109" s="263"/>
      <c r="G109" s="238" t="s">
        <v>252</v>
      </c>
      <c r="H109" s="238"/>
      <c r="I109" s="238"/>
      <c r="J109" s="238"/>
      <c r="K109" s="238"/>
      <c r="L109" s="238"/>
      <c r="M109" s="238"/>
      <c r="N109" s="238"/>
      <c r="O109" s="238"/>
      <c r="P109" s="16"/>
      <c r="Q109" s="116"/>
      <c r="R109" s="116"/>
      <c r="S109" s="116"/>
      <c r="T109" s="135">
        <f t="shared" si="11"/>
        <v>0</v>
      </c>
    </row>
    <row r="110" spans="1:20" ht="9.75" customHeight="1" x14ac:dyDescent="0.2">
      <c r="A110" s="223"/>
      <c r="B110" s="263"/>
      <c r="C110" s="263"/>
      <c r="D110" s="263"/>
      <c r="E110" s="263"/>
      <c r="F110" s="263"/>
      <c r="G110" s="257" t="s">
        <v>253</v>
      </c>
      <c r="H110" s="257"/>
      <c r="I110" s="257"/>
      <c r="J110" s="257"/>
      <c r="K110" s="257"/>
      <c r="L110" s="257"/>
      <c r="M110" s="257"/>
      <c r="N110" s="257"/>
      <c r="O110" s="257"/>
      <c r="P110" s="16"/>
      <c r="Q110" s="116"/>
      <c r="R110" s="116"/>
      <c r="S110" s="116"/>
      <c r="T110" s="135">
        <f t="shared" si="11"/>
        <v>0</v>
      </c>
    </row>
    <row r="111" spans="1:20" ht="9.75" customHeight="1" x14ac:dyDescent="0.2">
      <c r="A111" s="223"/>
      <c r="B111" s="263"/>
      <c r="C111" s="263"/>
      <c r="D111" s="263"/>
      <c r="E111" s="263"/>
      <c r="F111" s="263"/>
      <c r="G111" s="257" t="s">
        <v>254</v>
      </c>
      <c r="H111" s="257"/>
      <c r="I111" s="257"/>
      <c r="J111" s="257"/>
      <c r="K111" s="257"/>
      <c r="L111" s="257"/>
      <c r="M111" s="257"/>
      <c r="N111" s="257"/>
      <c r="O111" s="257"/>
      <c r="P111" s="16"/>
      <c r="Q111" s="116"/>
      <c r="R111" s="116"/>
      <c r="S111" s="116"/>
      <c r="T111" s="135">
        <f t="shared" si="11"/>
        <v>0</v>
      </c>
    </row>
    <row r="112" spans="1:20" ht="9.75" customHeight="1" x14ac:dyDescent="0.2">
      <c r="A112" s="223"/>
      <c r="B112" s="263"/>
      <c r="C112" s="263"/>
      <c r="D112" s="263"/>
      <c r="E112" s="263"/>
      <c r="F112" s="263"/>
      <c r="G112" s="257" t="s">
        <v>255</v>
      </c>
      <c r="H112" s="257"/>
      <c r="I112" s="257"/>
      <c r="J112" s="257"/>
      <c r="K112" s="257"/>
      <c r="L112" s="257"/>
      <c r="M112" s="257"/>
      <c r="N112" s="257"/>
      <c r="O112" s="257"/>
      <c r="P112" s="16"/>
      <c r="Q112" s="116"/>
      <c r="R112" s="116"/>
      <c r="S112" s="116"/>
      <c r="T112" s="135">
        <f t="shared" si="11"/>
        <v>0</v>
      </c>
    </row>
    <row r="113" spans="1:20" ht="12" customHeight="1" x14ac:dyDescent="0.2">
      <c r="A113" s="19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23"/>
      <c r="M113" s="23"/>
      <c r="N113" s="23"/>
      <c r="O113" s="23"/>
      <c r="P113" s="16"/>
      <c r="Q113" s="116"/>
      <c r="R113" s="136"/>
      <c r="S113" s="136"/>
      <c r="T113" s="138">
        <f>T105+T106+T107+T108+T109+T110+T111+T112</f>
        <v>0</v>
      </c>
    </row>
    <row r="114" spans="1:20" ht="15" customHeight="1" x14ac:dyDescent="0.2">
      <c r="A114" s="223" t="s">
        <v>256</v>
      </c>
      <c r="B114" s="332" t="s">
        <v>257</v>
      </c>
      <c r="C114" s="332"/>
      <c r="D114" s="332"/>
      <c r="E114" s="332"/>
      <c r="F114" s="332"/>
      <c r="G114" s="238" t="s">
        <v>258</v>
      </c>
      <c r="H114" s="238"/>
      <c r="I114" s="238"/>
      <c r="J114" s="238"/>
      <c r="K114" s="238"/>
      <c r="L114" s="238"/>
      <c r="M114" s="238"/>
      <c r="N114" s="238"/>
      <c r="O114" s="238"/>
      <c r="P114" s="16">
        <v>150</v>
      </c>
      <c r="Q114" s="116"/>
      <c r="R114" s="116"/>
      <c r="S114" s="116"/>
      <c r="T114" s="135">
        <f>P114+Q114+R114+S114</f>
        <v>150</v>
      </c>
    </row>
    <row r="115" spans="1:20" ht="15" customHeight="1" x14ac:dyDescent="0.2">
      <c r="A115" s="244"/>
      <c r="B115" s="332"/>
      <c r="C115" s="332"/>
      <c r="D115" s="332"/>
      <c r="E115" s="332"/>
      <c r="F115" s="332"/>
      <c r="G115" s="238" t="s">
        <v>259</v>
      </c>
      <c r="H115" s="238"/>
      <c r="I115" s="238"/>
      <c r="J115" s="238"/>
      <c r="K115" s="238"/>
      <c r="L115" s="238"/>
      <c r="M115" s="238"/>
      <c r="N115" s="238"/>
      <c r="O115" s="238"/>
      <c r="P115" s="16"/>
      <c r="Q115" s="116"/>
      <c r="R115" s="116"/>
      <c r="S115" s="116"/>
      <c r="T115" s="139">
        <f>P115+Q115+R115+S116</f>
        <v>0</v>
      </c>
    </row>
    <row r="116" spans="1:20" ht="12" customHeight="1" x14ac:dyDescent="0.2">
      <c r="A116" s="87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109"/>
      <c r="M116" s="109"/>
      <c r="N116" s="109"/>
      <c r="O116" s="109"/>
      <c r="P116" s="110"/>
      <c r="Q116" s="140"/>
      <c r="R116" s="141"/>
      <c r="S116" s="142"/>
      <c r="T116" s="143">
        <f>T114+T115</f>
        <v>150</v>
      </c>
    </row>
    <row r="117" spans="1:20" ht="22.5" customHeight="1" x14ac:dyDescent="0.2">
      <c r="A117" s="258" t="s">
        <v>260</v>
      </c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60"/>
      <c r="T117" s="144">
        <f>T104+T113+T116</f>
        <v>170</v>
      </c>
    </row>
    <row r="118" spans="1:20" ht="15.75" customHeight="1" x14ac:dyDescent="0.2">
      <c r="A118" s="333" t="s">
        <v>261</v>
      </c>
      <c r="B118" s="261"/>
      <c r="C118" s="261"/>
      <c r="D118" s="261" t="s">
        <v>14</v>
      </c>
      <c r="E118" s="261"/>
      <c r="F118" s="261"/>
      <c r="G118" s="261"/>
      <c r="H118" s="261"/>
      <c r="I118" s="261"/>
      <c r="J118" s="261"/>
      <c r="K118" s="261"/>
      <c r="L118" s="261" t="s">
        <v>185</v>
      </c>
      <c r="M118" s="261"/>
      <c r="N118" s="226" t="s">
        <v>186</v>
      </c>
      <c r="O118" s="226"/>
      <c r="P118" s="240" t="s">
        <v>187</v>
      </c>
      <c r="Q118" s="240"/>
      <c r="R118" s="240" t="s">
        <v>188</v>
      </c>
      <c r="S118" s="240"/>
      <c r="T118" s="316" t="s">
        <v>165</v>
      </c>
    </row>
    <row r="119" spans="1:20" ht="18.75" customHeight="1" x14ac:dyDescent="0.2">
      <c r="A119" s="334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99" t="s">
        <v>216</v>
      </c>
      <c r="M119" s="99" t="s">
        <v>217</v>
      </c>
      <c r="N119" s="99" t="s">
        <v>216</v>
      </c>
      <c r="O119" s="99" t="s">
        <v>217</v>
      </c>
      <c r="P119" s="99" t="s">
        <v>216</v>
      </c>
      <c r="Q119" s="99" t="s">
        <v>217</v>
      </c>
      <c r="R119" s="99" t="s">
        <v>216</v>
      </c>
      <c r="S119" s="99" t="s">
        <v>217</v>
      </c>
      <c r="T119" s="315"/>
    </row>
    <row r="120" spans="1:20" ht="40.5" customHeight="1" x14ac:dyDescent="0.2">
      <c r="A120" s="19" t="s">
        <v>238</v>
      </c>
      <c r="B120" s="270" t="s">
        <v>262</v>
      </c>
      <c r="C120" s="271"/>
      <c r="D120" s="272" t="s">
        <v>263</v>
      </c>
      <c r="E120" s="262"/>
      <c r="F120" s="262"/>
      <c r="G120" s="262"/>
      <c r="H120" s="262"/>
      <c r="I120" s="262"/>
      <c r="J120" s="262"/>
      <c r="K120" s="262"/>
      <c r="L120" s="111"/>
      <c r="M120" s="111"/>
      <c r="N120" s="111"/>
      <c r="O120" s="111"/>
      <c r="P120" s="111"/>
      <c r="Q120" s="116"/>
      <c r="R120" s="116"/>
      <c r="S120" s="116"/>
      <c r="T120" s="135">
        <f>L120+M120+N120+O120+P120+Q120+R120+S120</f>
        <v>0</v>
      </c>
    </row>
    <row r="121" spans="1:20" ht="15.75" customHeight="1" x14ac:dyDescent="0.2">
      <c r="A121" s="273" t="s">
        <v>264</v>
      </c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89"/>
      <c r="T121" s="135">
        <f>L120+M120+N120+O120+P120+Q120+R120+S120</f>
        <v>0</v>
      </c>
    </row>
    <row r="122" spans="1:20" ht="17.25" customHeight="1" x14ac:dyDescent="0.2">
      <c r="A122" s="90" t="s">
        <v>265</v>
      </c>
      <c r="B122" s="91"/>
      <c r="C122" s="92"/>
      <c r="D122" s="93"/>
      <c r="E122" s="275" t="s">
        <v>184</v>
      </c>
      <c r="F122" s="276"/>
      <c r="G122" s="276"/>
      <c r="H122" s="276"/>
      <c r="I122" s="276"/>
      <c r="J122" s="276"/>
      <c r="K122" s="276"/>
      <c r="L122" s="276"/>
      <c r="M122" s="276"/>
      <c r="N122" s="276"/>
      <c r="O122" s="277"/>
      <c r="P122" s="49" t="s">
        <v>185</v>
      </c>
      <c r="Q122" s="49" t="s">
        <v>186</v>
      </c>
      <c r="R122" s="49" t="s">
        <v>187</v>
      </c>
      <c r="S122" s="49" t="s">
        <v>188</v>
      </c>
      <c r="T122" s="68" t="s">
        <v>165</v>
      </c>
    </row>
    <row r="123" spans="1:20" ht="12.75" customHeight="1" x14ac:dyDescent="0.2">
      <c r="A123" s="282" t="s">
        <v>71</v>
      </c>
      <c r="B123" s="329" t="s">
        <v>266</v>
      </c>
      <c r="C123" s="330"/>
      <c r="D123" s="330"/>
      <c r="E123" s="278" t="s">
        <v>219</v>
      </c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112"/>
      <c r="Q123" s="145"/>
      <c r="R123" s="145"/>
      <c r="S123" s="145"/>
      <c r="T123" s="146"/>
    </row>
    <row r="124" spans="1:20" ht="12.75" customHeight="1" x14ac:dyDescent="0.2">
      <c r="A124" s="223"/>
      <c r="B124" s="331"/>
      <c r="C124" s="331"/>
      <c r="D124" s="331"/>
      <c r="E124" s="209" t="s">
        <v>267</v>
      </c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98"/>
      <c r="Q124" s="51"/>
      <c r="R124" s="51"/>
      <c r="S124" s="51"/>
      <c r="T124" s="74"/>
    </row>
    <row r="125" spans="1:20" ht="12.75" customHeight="1" x14ac:dyDescent="0.2">
      <c r="A125" s="223"/>
      <c r="B125" s="331"/>
      <c r="C125" s="331"/>
      <c r="D125" s="331"/>
      <c r="E125" s="209" t="s">
        <v>268</v>
      </c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98"/>
      <c r="Q125" s="51"/>
      <c r="R125" s="51"/>
      <c r="S125" s="51"/>
      <c r="T125" s="74"/>
    </row>
    <row r="126" spans="1:20" ht="21" customHeight="1" x14ac:dyDescent="0.2">
      <c r="A126" s="223"/>
      <c r="B126" s="331"/>
      <c r="C126" s="331"/>
      <c r="D126" s="331"/>
      <c r="E126" s="209" t="s">
        <v>269</v>
      </c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98"/>
      <c r="Q126" s="51"/>
      <c r="R126" s="51"/>
      <c r="S126" s="51"/>
      <c r="T126" s="74"/>
    </row>
    <row r="127" spans="1:20" ht="17.25" customHeight="1" x14ac:dyDescent="0.2">
      <c r="A127" s="76"/>
      <c r="B127" s="94"/>
      <c r="C127" s="94"/>
      <c r="D127" s="94"/>
      <c r="E127" s="81"/>
      <c r="F127" s="81"/>
      <c r="G127" s="81"/>
      <c r="H127" s="81"/>
      <c r="I127" s="81"/>
      <c r="J127" s="81"/>
      <c r="K127" s="81"/>
      <c r="L127" s="113"/>
      <c r="M127" s="113"/>
      <c r="N127" s="113"/>
      <c r="O127" s="113"/>
      <c r="P127" s="97">
        <f>P123+P124+P125+P126</f>
        <v>0</v>
      </c>
      <c r="Q127" s="97">
        <f>Q123+Q124+Q125+Q126</f>
        <v>0</v>
      </c>
      <c r="R127" s="97">
        <f>R123+R124+R125+R126</f>
        <v>0</v>
      </c>
      <c r="S127" s="97">
        <f>S123+S124+S125+S126</f>
        <v>0</v>
      </c>
      <c r="T127" s="147">
        <f>P127+Q127+R127+S127</f>
        <v>0</v>
      </c>
    </row>
    <row r="128" spans="1:20" ht="27.75" customHeight="1" x14ac:dyDescent="0.2">
      <c r="A128" s="95"/>
      <c r="B128" s="279" t="s">
        <v>270</v>
      </c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1"/>
      <c r="Q128" s="281"/>
      <c r="R128" s="281"/>
      <c r="S128" s="148"/>
      <c r="T128" s="147">
        <f>P127:T127</f>
        <v>0</v>
      </c>
    </row>
    <row r="129" spans="1:20" ht="51.75" customHeight="1" x14ac:dyDescent="0.2">
      <c r="A129" s="283" t="s">
        <v>271</v>
      </c>
      <c r="B129" s="284"/>
      <c r="C129" s="284"/>
      <c r="D129" s="284"/>
      <c r="E129" s="264" t="s">
        <v>272</v>
      </c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151"/>
      <c r="Q129" s="151"/>
      <c r="R129" s="151"/>
      <c r="S129" s="151"/>
      <c r="T129" s="154">
        <f>P129+Q129+R129+S129</f>
        <v>0</v>
      </c>
    </row>
    <row r="130" spans="1:20" ht="22.5" customHeight="1" x14ac:dyDescent="0.2">
      <c r="A130" s="265" t="s">
        <v>273</v>
      </c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155">
        <f>T74+T98+T117+T121+T128</f>
        <v>180</v>
      </c>
    </row>
    <row r="131" spans="1:20" ht="23.25" customHeight="1" x14ac:dyDescent="0.2">
      <c r="A131" s="267" t="s">
        <v>274</v>
      </c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3"/>
      <c r="T131" s="156"/>
    </row>
    <row r="132" spans="1:20" ht="32.25" customHeight="1" x14ac:dyDescent="0.2">
      <c r="A132" s="327" t="s">
        <v>275</v>
      </c>
      <c r="B132" s="220"/>
      <c r="C132" s="220"/>
      <c r="D132" s="220" t="s">
        <v>184</v>
      </c>
      <c r="E132" s="220"/>
      <c r="F132" s="220"/>
      <c r="G132" s="220"/>
      <c r="H132" s="220"/>
      <c r="I132" s="220"/>
      <c r="J132" s="220"/>
      <c r="K132" s="220"/>
      <c r="L132" s="220" t="s">
        <v>185</v>
      </c>
      <c r="M132" s="220"/>
      <c r="N132" s="226" t="s">
        <v>186</v>
      </c>
      <c r="O132" s="226"/>
      <c r="P132" s="240" t="s">
        <v>187</v>
      </c>
      <c r="Q132" s="240"/>
      <c r="R132" s="240" t="s">
        <v>188</v>
      </c>
      <c r="S132" s="240"/>
      <c r="T132" s="316" t="s">
        <v>165</v>
      </c>
    </row>
    <row r="133" spans="1:20" ht="23.25" customHeight="1" x14ac:dyDescent="0.2">
      <c r="A133" s="328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152" t="s">
        <v>216</v>
      </c>
      <c r="M133" s="152" t="s">
        <v>217</v>
      </c>
      <c r="N133" s="152" t="s">
        <v>216</v>
      </c>
      <c r="O133" s="152" t="s">
        <v>217</v>
      </c>
      <c r="P133" s="152" t="s">
        <v>216</v>
      </c>
      <c r="Q133" s="152" t="s">
        <v>217</v>
      </c>
      <c r="R133" s="152" t="s">
        <v>216</v>
      </c>
      <c r="S133" s="152" t="s">
        <v>217</v>
      </c>
      <c r="T133" s="317"/>
    </row>
    <row r="134" spans="1:20" ht="18.75" customHeight="1" x14ac:dyDescent="0.2">
      <c r="A134" s="243" t="s">
        <v>276</v>
      </c>
      <c r="B134" s="324" t="s">
        <v>277</v>
      </c>
      <c r="C134" s="325"/>
      <c r="D134" s="269" t="s">
        <v>240</v>
      </c>
      <c r="E134" s="269"/>
      <c r="F134" s="269"/>
      <c r="G134" s="269"/>
      <c r="H134" s="269"/>
      <c r="I134" s="269"/>
      <c r="J134" s="269"/>
      <c r="K134" s="269"/>
      <c r="L134" s="102"/>
      <c r="M134" s="102"/>
      <c r="N134" s="102"/>
      <c r="O134" s="102"/>
      <c r="P134" s="102"/>
      <c r="Q134" s="126"/>
      <c r="R134" s="126"/>
      <c r="S134" s="126"/>
      <c r="T134" s="128">
        <f>L134+M134+N134+O134+P134+Q134+R134+S134</f>
        <v>0</v>
      </c>
    </row>
    <row r="135" spans="1:20" ht="18.75" customHeight="1" x14ac:dyDescent="0.2">
      <c r="A135" s="244"/>
      <c r="B135" s="326"/>
      <c r="C135" s="326"/>
      <c r="D135" s="286" t="s">
        <v>278</v>
      </c>
      <c r="E135" s="286"/>
      <c r="F135" s="286"/>
      <c r="G135" s="286"/>
      <c r="H135" s="286"/>
      <c r="I135" s="286"/>
      <c r="J135" s="286"/>
      <c r="K135" s="286"/>
      <c r="L135" s="104"/>
      <c r="M135" s="104"/>
      <c r="N135" s="96"/>
      <c r="O135" s="96"/>
      <c r="P135" s="96"/>
      <c r="Q135" s="118"/>
      <c r="R135" s="118"/>
      <c r="S135" s="118"/>
      <c r="T135" s="128">
        <f>L135+M135+N135+O135+P135+Q135+R135+S135</f>
        <v>0</v>
      </c>
    </row>
    <row r="136" spans="1:20" ht="4.5" customHeight="1" x14ac:dyDescent="0.2">
      <c r="A136" s="76"/>
      <c r="B136" s="94"/>
      <c r="C136" s="94"/>
      <c r="D136" s="81"/>
      <c r="E136" s="81"/>
      <c r="F136" s="81"/>
      <c r="G136" s="81"/>
      <c r="H136" s="81"/>
      <c r="I136" s="81"/>
      <c r="J136" s="81"/>
      <c r="K136" s="81"/>
      <c r="L136" s="153"/>
      <c r="M136" s="153"/>
      <c r="N136" s="97"/>
      <c r="O136" s="97"/>
      <c r="P136" s="97"/>
      <c r="Q136" s="120"/>
      <c r="R136" s="120"/>
      <c r="S136" s="120"/>
      <c r="T136" s="157">
        <f>T134+T135</f>
        <v>0</v>
      </c>
    </row>
    <row r="137" spans="1:20" ht="4.5" customHeight="1" x14ac:dyDescent="0.2">
      <c r="A137" s="87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110"/>
      <c r="M137" s="110"/>
      <c r="N137" s="110"/>
      <c r="O137" s="110"/>
      <c r="P137" s="110"/>
      <c r="Q137" s="140"/>
      <c r="R137" s="140"/>
      <c r="S137" s="140"/>
      <c r="T137" s="158" t="e">
        <f>#REF!+#REF!+#REF!</f>
        <v>#REF!</v>
      </c>
    </row>
    <row r="138" spans="1:20" ht="22.5" customHeight="1" x14ac:dyDescent="0.2">
      <c r="A138" s="258" t="s">
        <v>279</v>
      </c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87"/>
      <c r="T138" s="159">
        <f>T136</f>
        <v>0</v>
      </c>
    </row>
    <row r="139" spans="1:20" ht="20.25" customHeight="1" x14ac:dyDescent="0.2">
      <c r="A139" s="288" t="s">
        <v>280</v>
      </c>
      <c r="B139" s="289"/>
      <c r="C139" s="289"/>
      <c r="D139" s="289"/>
      <c r="E139" s="289"/>
      <c r="F139" s="289"/>
      <c r="G139" s="289" t="s">
        <v>184</v>
      </c>
      <c r="H139" s="289"/>
      <c r="I139" s="289"/>
      <c r="J139" s="289"/>
      <c r="K139" s="289"/>
      <c r="L139" s="289"/>
      <c r="M139" s="289"/>
      <c r="N139" s="289"/>
      <c r="O139" s="289"/>
      <c r="P139" s="50" t="s">
        <v>185</v>
      </c>
      <c r="Q139" s="50" t="s">
        <v>186</v>
      </c>
      <c r="R139" s="50" t="s">
        <v>187</v>
      </c>
      <c r="S139" s="50" t="s">
        <v>188</v>
      </c>
      <c r="T139" s="69" t="s">
        <v>165</v>
      </c>
    </row>
    <row r="140" spans="1:20" x14ac:dyDescent="0.2">
      <c r="A140" s="19" t="s">
        <v>276</v>
      </c>
      <c r="B140" s="290" t="s">
        <v>126</v>
      </c>
      <c r="C140" s="290"/>
      <c r="D140" s="290"/>
      <c r="E140" s="290"/>
      <c r="F140" s="290"/>
      <c r="G140" s="257" t="s">
        <v>281</v>
      </c>
      <c r="H140" s="257"/>
      <c r="I140" s="257"/>
      <c r="J140" s="257"/>
      <c r="K140" s="257"/>
      <c r="L140" s="257"/>
      <c r="M140" s="257"/>
      <c r="N140" s="257"/>
      <c r="O140" s="257"/>
      <c r="P140" s="16"/>
      <c r="Q140" s="116"/>
      <c r="R140" s="116"/>
      <c r="S140" s="116"/>
      <c r="T140" s="128">
        <f>P140+Q140+R140+S140</f>
        <v>0</v>
      </c>
    </row>
    <row r="141" spans="1:20" ht="25.5" customHeight="1" x14ac:dyDescent="0.2">
      <c r="A141" s="19" t="s">
        <v>282</v>
      </c>
      <c r="B141" s="291" t="s">
        <v>129</v>
      </c>
      <c r="C141" s="291"/>
      <c r="D141" s="291"/>
      <c r="E141" s="291"/>
      <c r="F141" s="291"/>
      <c r="G141" s="209" t="s">
        <v>281</v>
      </c>
      <c r="H141" s="209"/>
      <c r="I141" s="209"/>
      <c r="J141" s="209"/>
      <c r="K141" s="209"/>
      <c r="L141" s="209"/>
      <c r="M141" s="209"/>
      <c r="N141" s="209"/>
      <c r="O141" s="209"/>
      <c r="P141" s="16"/>
      <c r="Q141" s="116"/>
      <c r="R141" s="116"/>
      <c r="S141" s="116"/>
      <c r="T141" s="160">
        <f>P141+Q141+R141+S141</f>
        <v>0</v>
      </c>
    </row>
    <row r="142" spans="1:20" ht="25.5" customHeight="1" x14ac:dyDescent="0.2">
      <c r="A142" s="19" t="s">
        <v>283</v>
      </c>
      <c r="B142" s="224" t="s">
        <v>131</v>
      </c>
      <c r="C142" s="224"/>
      <c r="D142" s="224"/>
      <c r="E142" s="224"/>
      <c r="F142" s="224"/>
      <c r="G142" s="209" t="s">
        <v>281</v>
      </c>
      <c r="H142" s="209"/>
      <c r="I142" s="209"/>
      <c r="J142" s="209"/>
      <c r="K142" s="209"/>
      <c r="L142" s="209"/>
      <c r="M142" s="209"/>
      <c r="N142" s="209"/>
      <c r="O142" s="209"/>
      <c r="P142" s="16"/>
      <c r="Q142" s="116"/>
      <c r="R142" s="116"/>
      <c r="S142" s="116"/>
      <c r="T142" s="160">
        <f>P142+Q142+R142+S142</f>
        <v>0</v>
      </c>
    </row>
    <row r="143" spans="1:20" ht="25.5" customHeight="1" x14ac:dyDescent="0.2">
      <c r="A143" s="19" t="s">
        <v>284</v>
      </c>
      <c r="B143" s="224" t="s">
        <v>133</v>
      </c>
      <c r="C143" s="224"/>
      <c r="D143" s="224"/>
      <c r="E143" s="224"/>
      <c r="F143" s="224"/>
      <c r="G143" s="209" t="s">
        <v>281</v>
      </c>
      <c r="H143" s="209"/>
      <c r="I143" s="209"/>
      <c r="J143" s="209"/>
      <c r="K143" s="209"/>
      <c r="L143" s="209"/>
      <c r="M143" s="209"/>
      <c r="N143" s="209"/>
      <c r="O143" s="209"/>
      <c r="P143" s="16"/>
      <c r="Q143" s="116"/>
      <c r="R143" s="116"/>
      <c r="S143" s="116"/>
      <c r="T143" s="160">
        <f t="shared" ref="T143:T148" si="12">P143+Q143+R143+S143</f>
        <v>0</v>
      </c>
    </row>
    <row r="144" spans="1:20" ht="25.5" customHeight="1" x14ac:dyDescent="0.2">
      <c r="A144" s="19" t="s">
        <v>285</v>
      </c>
      <c r="B144" s="291" t="s">
        <v>135</v>
      </c>
      <c r="C144" s="291"/>
      <c r="D144" s="291"/>
      <c r="E144" s="291"/>
      <c r="F144" s="291"/>
      <c r="G144" s="209" t="s">
        <v>281</v>
      </c>
      <c r="H144" s="209"/>
      <c r="I144" s="209"/>
      <c r="J144" s="209"/>
      <c r="K144" s="209"/>
      <c r="L144" s="209"/>
      <c r="M144" s="209"/>
      <c r="N144" s="209"/>
      <c r="O144" s="209"/>
      <c r="P144" s="16"/>
      <c r="Q144" s="116"/>
      <c r="R144" s="116"/>
      <c r="S144" s="116"/>
      <c r="T144" s="160">
        <f t="shared" si="12"/>
        <v>0</v>
      </c>
    </row>
    <row r="145" spans="1:20" ht="15" customHeight="1" x14ac:dyDescent="0.2">
      <c r="A145" s="223" t="s">
        <v>286</v>
      </c>
      <c r="B145" s="224" t="s">
        <v>287</v>
      </c>
      <c r="C145" s="224"/>
      <c r="D145" s="224"/>
      <c r="E145" s="224"/>
      <c r="F145" s="224"/>
      <c r="G145" s="257" t="s">
        <v>288</v>
      </c>
      <c r="H145" s="257"/>
      <c r="I145" s="257"/>
      <c r="J145" s="257"/>
      <c r="K145" s="257"/>
      <c r="L145" s="257"/>
      <c r="M145" s="257"/>
      <c r="N145" s="257"/>
      <c r="O145" s="257"/>
      <c r="P145" s="16"/>
      <c r="Q145" s="116"/>
      <c r="R145" s="116"/>
      <c r="S145" s="116"/>
      <c r="T145" s="160">
        <f t="shared" si="12"/>
        <v>0</v>
      </c>
    </row>
    <row r="146" spans="1:20" ht="15" customHeight="1" x14ac:dyDescent="0.2">
      <c r="A146" s="223"/>
      <c r="B146" s="224"/>
      <c r="C146" s="224"/>
      <c r="D146" s="224"/>
      <c r="E146" s="224"/>
      <c r="F146" s="224"/>
      <c r="G146" s="257" t="s">
        <v>289</v>
      </c>
      <c r="H146" s="257"/>
      <c r="I146" s="257"/>
      <c r="J146" s="257"/>
      <c r="K146" s="257"/>
      <c r="L146" s="257"/>
      <c r="M146" s="257"/>
      <c r="N146" s="257"/>
      <c r="O146" s="257"/>
      <c r="P146" s="16"/>
      <c r="Q146" s="116"/>
      <c r="R146" s="116"/>
      <c r="S146" s="116"/>
      <c r="T146" s="160">
        <f t="shared" si="12"/>
        <v>0</v>
      </c>
    </row>
    <row r="147" spans="1:20" ht="15" customHeight="1" x14ac:dyDescent="0.2">
      <c r="A147" s="223"/>
      <c r="B147" s="224"/>
      <c r="C147" s="224"/>
      <c r="D147" s="224"/>
      <c r="E147" s="224"/>
      <c r="F147" s="224"/>
      <c r="G147" s="257" t="s">
        <v>290</v>
      </c>
      <c r="H147" s="257"/>
      <c r="I147" s="257"/>
      <c r="J147" s="257"/>
      <c r="K147" s="257"/>
      <c r="L147" s="257"/>
      <c r="M147" s="257"/>
      <c r="N147" s="257"/>
      <c r="O147" s="257"/>
      <c r="P147" s="16"/>
      <c r="Q147" s="116"/>
      <c r="R147" s="116"/>
      <c r="S147" s="116"/>
      <c r="T147" s="160">
        <f t="shared" si="12"/>
        <v>0</v>
      </c>
    </row>
    <row r="148" spans="1:20" ht="15" customHeight="1" x14ac:dyDescent="0.2">
      <c r="A148" s="223"/>
      <c r="B148" s="224"/>
      <c r="C148" s="224"/>
      <c r="D148" s="224"/>
      <c r="E148" s="224"/>
      <c r="F148" s="224"/>
      <c r="G148" s="257" t="s">
        <v>291</v>
      </c>
      <c r="H148" s="257"/>
      <c r="I148" s="257"/>
      <c r="J148" s="257"/>
      <c r="K148" s="257"/>
      <c r="L148" s="257"/>
      <c r="M148" s="257"/>
      <c r="N148" s="257"/>
      <c r="O148" s="257"/>
      <c r="P148" s="16"/>
      <c r="Q148" s="116"/>
      <c r="R148" s="116"/>
      <c r="S148" s="116"/>
      <c r="T148" s="160">
        <f t="shared" si="12"/>
        <v>0</v>
      </c>
    </row>
    <row r="149" spans="1:20" ht="10.5" customHeight="1" x14ac:dyDescent="0.2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3"/>
      <c r="M149" s="23"/>
      <c r="N149" s="23"/>
      <c r="O149" s="23"/>
      <c r="P149" s="16"/>
      <c r="Q149" s="116"/>
      <c r="R149" s="116"/>
      <c r="S149" s="116"/>
      <c r="T149" s="160"/>
    </row>
    <row r="150" spans="1:20" ht="21.75" customHeight="1" x14ac:dyDescent="0.2">
      <c r="A150" s="149" t="s">
        <v>292</v>
      </c>
      <c r="B150" s="285" t="s">
        <v>143</v>
      </c>
      <c r="C150" s="285"/>
      <c r="D150" s="285"/>
      <c r="E150" s="285"/>
      <c r="F150" s="285"/>
      <c r="G150" s="286" t="s">
        <v>281</v>
      </c>
      <c r="H150" s="286"/>
      <c r="I150" s="286"/>
      <c r="J150" s="286"/>
      <c r="K150" s="286"/>
      <c r="L150" s="286"/>
      <c r="M150" s="286"/>
      <c r="N150" s="286"/>
      <c r="O150" s="286"/>
      <c r="P150" s="96"/>
      <c r="Q150" s="118"/>
      <c r="R150" s="118"/>
      <c r="S150" s="118"/>
      <c r="T150" s="161">
        <f>P150+Q150+R150+S150</f>
        <v>0</v>
      </c>
    </row>
    <row r="151" spans="1:20" ht="21" customHeight="1" x14ac:dyDescent="0.2">
      <c r="A151" s="335" t="s">
        <v>293</v>
      </c>
      <c r="B151" s="336"/>
      <c r="C151" s="336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150"/>
      <c r="T151" s="162">
        <f>T140+T141+T142+T143+T144+T145+T146+T147+T148+T150</f>
        <v>0</v>
      </c>
    </row>
    <row r="152" spans="1:20" x14ac:dyDescent="0.2">
      <c r="A152" s="337" t="s">
        <v>294</v>
      </c>
      <c r="B152" s="338"/>
      <c r="C152" s="338"/>
      <c r="D152" s="338"/>
      <c r="E152" s="338"/>
      <c r="F152" s="338"/>
      <c r="G152" s="339" t="s">
        <v>184</v>
      </c>
      <c r="H152" s="339"/>
      <c r="I152" s="339"/>
      <c r="J152" s="339"/>
      <c r="K152" s="339"/>
      <c r="L152" s="339"/>
      <c r="M152" s="339"/>
      <c r="N152" s="339"/>
      <c r="O152" s="339"/>
      <c r="P152" s="49" t="s">
        <v>185</v>
      </c>
      <c r="Q152" s="49" t="s">
        <v>186</v>
      </c>
      <c r="R152" s="49" t="s">
        <v>187</v>
      </c>
      <c r="S152" s="49" t="s">
        <v>188</v>
      </c>
      <c r="T152" s="163" t="s">
        <v>171</v>
      </c>
    </row>
    <row r="153" spans="1:20" ht="15.75" customHeight="1" x14ac:dyDescent="0.2">
      <c r="A153" s="25" t="s">
        <v>276</v>
      </c>
      <c r="B153" s="340" t="s">
        <v>145</v>
      </c>
      <c r="C153" s="341"/>
      <c r="D153" s="341"/>
      <c r="E153" s="341"/>
      <c r="F153" s="342"/>
      <c r="G153" s="269" t="s">
        <v>295</v>
      </c>
      <c r="H153" s="269"/>
      <c r="I153" s="269"/>
      <c r="J153" s="269"/>
      <c r="K153" s="269"/>
      <c r="L153" s="269"/>
      <c r="M153" s="269"/>
      <c r="N153" s="269"/>
      <c r="O153" s="269"/>
      <c r="P153" s="102"/>
      <c r="Q153" s="126"/>
      <c r="R153" s="126"/>
      <c r="S153" s="126"/>
      <c r="T153" s="128">
        <f>P153+Q153+R153+S153</f>
        <v>0</v>
      </c>
    </row>
    <row r="154" spans="1:20" ht="19.5" customHeight="1" x14ac:dyDescent="0.2">
      <c r="A154" s="28" t="s">
        <v>282</v>
      </c>
      <c r="B154" s="343" t="s">
        <v>148</v>
      </c>
      <c r="C154" s="343"/>
      <c r="D154" s="343"/>
      <c r="E154" s="343"/>
      <c r="F154" s="343"/>
      <c r="G154" s="344" t="s">
        <v>296</v>
      </c>
      <c r="H154" s="344"/>
      <c r="I154" s="344"/>
      <c r="J154" s="344"/>
      <c r="K154" s="344"/>
      <c r="L154" s="344"/>
      <c r="M154" s="344"/>
      <c r="N154" s="344"/>
      <c r="O154" s="344"/>
      <c r="P154" s="96"/>
      <c r="Q154" s="118"/>
      <c r="R154" s="118"/>
      <c r="S154" s="118"/>
      <c r="T154" s="130">
        <f t="shared" ref="T154" si="13">P154+Q154+R154+S154</f>
        <v>0</v>
      </c>
    </row>
    <row r="155" spans="1:20" ht="15.75" customHeight="1" x14ac:dyDescent="0.2">
      <c r="A155" s="345" t="s">
        <v>297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162">
        <f>T153+T154</f>
        <v>0</v>
      </c>
    </row>
    <row r="156" spans="1:20" ht="15.75" customHeight="1" x14ac:dyDescent="0.2">
      <c r="A156" s="347" t="s">
        <v>298</v>
      </c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135">
        <f>T138+T151++T155</f>
        <v>0</v>
      </c>
    </row>
    <row r="157" spans="1:20" ht="15.75" customHeight="1" x14ac:dyDescent="0.2">
      <c r="A157" s="318" t="s">
        <v>152</v>
      </c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8">
        <f>T35+T130+T156</f>
        <v>302</v>
      </c>
      <c r="T157" s="322"/>
    </row>
    <row r="158" spans="1:20" ht="21.75" customHeight="1" x14ac:dyDescent="0.2">
      <c r="A158" s="320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0"/>
      <c r="T158" s="323"/>
    </row>
  </sheetData>
  <mergeCells count="263">
    <mergeCell ref="B94:C95"/>
    <mergeCell ref="D94:K95"/>
    <mergeCell ref="B89:C92"/>
    <mergeCell ref="B83:C87"/>
    <mergeCell ref="B77:C81"/>
    <mergeCell ref="A75:C76"/>
    <mergeCell ref="D75:K76"/>
    <mergeCell ref="B69:I72"/>
    <mergeCell ref="B25:B26"/>
    <mergeCell ref="B27:B28"/>
    <mergeCell ref="B29:B30"/>
    <mergeCell ref="B31:B33"/>
    <mergeCell ref="J51:O51"/>
    <mergeCell ref="J52:O52"/>
    <mergeCell ref="J53:O53"/>
    <mergeCell ref="J54:O54"/>
    <mergeCell ref="A83:A87"/>
    <mergeCell ref="A89:A92"/>
    <mergeCell ref="T132:T133"/>
    <mergeCell ref="A157:R158"/>
    <mergeCell ref="S157:T158"/>
    <mergeCell ref="B145:F148"/>
    <mergeCell ref="B134:C135"/>
    <mergeCell ref="A132:C133"/>
    <mergeCell ref="D132:K133"/>
    <mergeCell ref="B123:D126"/>
    <mergeCell ref="B114:F115"/>
    <mergeCell ref="A118:C119"/>
    <mergeCell ref="D118:K119"/>
    <mergeCell ref="A151:R151"/>
    <mergeCell ref="A152:F152"/>
    <mergeCell ref="G152:O152"/>
    <mergeCell ref="B153:F153"/>
    <mergeCell ref="G153:O153"/>
    <mergeCell ref="B154:F154"/>
    <mergeCell ref="G154:O154"/>
    <mergeCell ref="A155:S155"/>
    <mergeCell ref="A156:S156"/>
    <mergeCell ref="B143:F143"/>
    <mergeCell ref="G143:O143"/>
    <mergeCell ref="B144:F144"/>
    <mergeCell ref="G144:O144"/>
    <mergeCell ref="T17:T18"/>
    <mergeCell ref="T19:T21"/>
    <mergeCell ref="T23:T24"/>
    <mergeCell ref="T25:T26"/>
    <mergeCell ref="T27:T28"/>
    <mergeCell ref="T29:T30"/>
    <mergeCell ref="T31:T33"/>
    <mergeCell ref="T75:T76"/>
    <mergeCell ref="T118:T119"/>
    <mergeCell ref="A94:A95"/>
    <mergeCell ref="A101:A103"/>
    <mergeCell ref="G101:O101"/>
    <mergeCell ref="G102:O102"/>
    <mergeCell ref="G103:O103"/>
    <mergeCell ref="D80:K80"/>
    <mergeCell ref="D81:K81"/>
    <mergeCell ref="D83:K83"/>
    <mergeCell ref="D84:K84"/>
    <mergeCell ref="D85:K85"/>
    <mergeCell ref="D86:K86"/>
    <mergeCell ref="D87:K87"/>
    <mergeCell ref="D89:K89"/>
    <mergeCell ref="D90:K90"/>
    <mergeCell ref="D91:K91"/>
    <mergeCell ref="D92:K92"/>
    <mergeCell ref="B97:C97"/>
    <mergeCell ref="D97:K97"/>
    <mergeCell ref="A98:R98"/>
    <mergeCell ref="A99:F99"/>
    <mergeCell ref="G99:O99"/>
    <mergeCell ref="B100:F100"/>
    <mergeCell ref="G100:O100"/>
    <mergeCell ref="B101:F103"/>
    <mergeCell ref="A25:A26"/>
    <mergeCell ref="A27:A28"/>
    <mergeCell ref="A29:A30"/>
    <mergeCell ref="A31:A33"/>
    <mergeCell ref="A38:A43"/>
    <mergeCell ref="A45:A49"/>
    <mergeCell ref="A51:A55"/>
    <mergeCell ref="A57:A61"/>
    <mergeCell ref="A63:A67"/>
    <mergeCell ref="G145:O145"/>
    <mergeCell ref="G146:O146"/>
    <mergeCell ref="G147:O147"/>
    <mergeCell ref="G148:O148"/>
    <mergeCell ref="B150:F150"/>
    <mergeCell ref="G150:O150"/>
    <mergeCell ref="D135:K135"/>
    <mergeCell ref="A138:S138"/>
    <mergeCell ref="A139:F139"/>
    <mergeCell ref="G139:O139"/>
    <mergeCell ref="B140:F140"/>
    <mergeCell ref="G140:O140"/>
    <mergeCell ref="B141:F141"/>
    <mergeCell ref="G141:O141"/>
    <mergeCell ref="B142:F142"/>
    <mergeCell ref="G142:O142"/>
    <mergeCell ref="A134:A135"/>
    <mergeCell ref="A145:A148"/>
    <mergeCell ref="E129:O129"/>
    <mergeCell ref="A130:S130"/>
    <mergeCell ref="A131:R131"/>
    <mergeCell ref="L132:M132"/>
    <mergeCell ref="N132:O132"/>
    <mergeCell ref="P132:Q132"/>
    <mergeCell ref="R132:S132"/>
    <mergeCell ref="D134:K134"/>
    <mergeCell ref="B120:C120"/>
    <mergeCell ref="D120:K120"/>
    <mergeCell ref="A121:R121"/>
    <mergeCell ref="E122:O122"/>
    <mergeCell ref="E123:O123"/>
    <mergeCell ref="E124:O124"/>
    <mergeCell ref="E125:O125"/>
    <mergeCell ref="E126:O126"/>
    <mergeCell ref="B128:R128"/>
    <mergeCell ref="A123:A126"/>
    <mergeCell ref="A129:D129"/>
    <mergeCell ref="G111:O111"/>
    <mergeCell ref="G112:O112"/>
    <mergeCell ref="G114:O114"/>
    <mergeCell ref="G115:O115"/>
    <mergeCell ref="A117:S117"/>
    <mergeCell ref="L118:M118"/>
    <mergeCell ref="N118:O118"/>
    <mergeCell ref="P118:Q118"/>
    <mergeCell ref="R118:S118"/>
    <mergeCell ref="B105:F112"/>
    <mergeCell ref="G105:O105"/>
    <mergeCell ref="G106:O106"/>
    <mergeCell ref="G107:O107"/>
    <mergeCell ref="G108:O108"/>
    <mergeCell ref="G109:O109"/>
    <mergeCell ref="G110:O110"/>
    <mergeCell ref="A105:A112"/>
    <mergeCell ref="A114:A115"/>
    <mergeCell ref="N75:O75"/>
    <mergeCell ref="P75:Q75"/>
    <mergeCell ref="R75:S75"/>
    <mergeCell ref="D77:K77"/>
    <mergeCell ref="D78:K78"/>
    <mergeCell ref="D79:K79"/>
    <mergeCell ref="A69:A72"/>
    <mergeCell ref="A77:A81"/>
    <mergeCell ref="J61:O61"/>
    <mergeCell ref="J63:O63"/>
    <mergeCell ref="J64:O64"/>
    <mergeCell ref="J65:O65"/>
    <mergeCell ref="J66:O66"/>
    <mergeCell ref="J67:O67"/>
    <mergeCell ref="J69:O69"/>
    <mergeCell ref="J70:O70"/>
    <mergeCell ref="J71:O71"/>
    <mergeCell ref="J72:O72"/>
    <mergeCell ref="A74:S74"/>
    <mergeCell ref="L75:M75"/>
    <mergeCell ref="B63:I67"/>
    <mergeCell ref="B57:I61"/>
    <mergeCell ref="J60:O60"/>
    <mergeCell ref="J40:O40"/>
    <mergeCell ref="J41:O41"/>
    <mergeCell ref="J42:O42"/>
    <mergeCell ref="J43:O43"/>
    <mergeCell ref="J45:O45"/>
    <mergeCell ref="J46:O46"/>
    <mergeCell ref="J47:O47"/>
    <mergeCell ref="J48:O48"/>
    <mergeCell ref="J49:O49"/>
    <mergeCell ref="A34:S34"/>
    <mergeCell ref="A35:S35"/>
    <mergeCell ref="J37:O37"/>
    <mergeCell ref="J38:O38"/>
    <mergeCell ref="J39:O39"/>
    <mergeCell ref="J55:O55"/>
    <mergeCell ref="J57:O57"/>
    <mergeCell ref="J58:O58"/>
    <mergeCell ref="J59:O59"/>
    <mergeCell ref="B51:I55"/>
    <mergeCell ref="B45:I49"/>
    <mergeCell ref="B38:I43"/>
    <mergeCell ref="D31:G31"/>
    <mergeCell ref="H31:K31"/>
    <mergeCell ref="L31:O31"/>
    <mergeCell ref="P31:S31"/>
    <mergeCell ref="D32:G32"/>
    <mergeCell ref="H32:K32"/>
    <mergeCell ref="L32:O32"/>
    <mergeCell ref="P32:S32"/>
    <mergeCell ref="D33:G33"/>
    <mergeCell ref="H33:K33"/>
    <mergeCell ref="L33:O33"/>
    <mergeCell ref="P33:S33"/>
    <mergeCell ref="D28:G28"/>
    <mergeCell ref="H28:K28"/>
    <mergeCell ref="L28:O28"/>
    <mergeCell ref="P28:S28"/>
    <mergeCell ref="D29:G29"/>
    <mergeCell ref="H29:K29"/>
    <mergeCell ref="L29:O29"/>
    <mergeCell ref="P29:S29"/>
    <mergeCell ref="D30:G30"/>
    <mergeCell ref="H30:K30"/>
    <mergeCell ref="L30:O30"/>
    <mergeCell ref="P30:S30"/>
    <mergeCell ref="D25:G25"/>
    <mergeCell ref="H25:K25"/>
    <mergeCell ref="L25:O25"/>
    <mergeCell ref="P25:S25"/>
    <mergeCell ref="D26:G26"/>
    <mergeCell ref="H26:K26"/>
    <mergeCell ref="L26:O26"/>
    <mergeCell ref="P26:S26"/>
    <mergeCell ref="D27:G27"/>
    <mergeCell ref="H27:K27"/>
    <mergeCell ref="L27:O27"/>
    <mergeCell ref="P27:S27"/>
    <mergeCell ref="D17:G17"/>
    <mergeCell ref="H17:K17"/>
    <mergeCell ref="L17:O17"/>
    <mergeCell ref="P17:S17"/>
    <mergeCell ref="A22:R22"/>
    <mergeCell ref="D23:G23"/>
    <mergeCell ref="H23:K23"/>
    <mergeCell ref="L23:O23"/>
    <mergeCell ref="P23:S23"/>
    <mergeCell ref="A19:A21"/>
    <mergeCell ref="B19:B21"/>
    <mergeCell ref="K19:K21"/>
    <mergeCell ref="O19:O21"/>
    <mergeCell ref="S19:S21"/>
    <mergeCell ref="C17:C18"/>
    <mergeCell ref="C23:C24"/>
    <mergeCell ref="G19:G21"/>
    <mergeCell ref="D24:G24"/>
    <mergeCell ref="H24:K24"/>
    <mergeCell ref="L24:O24"/>
    <mergeCell ref="P24:S24"/>
    <mergeCell ref="A23:B24"/>
    <mergeCell ref="A17:B18"/>
    <mergeCell ref="B1:T1"/>
    <mergeCell ref="A3:T3"/>
    <mergeCell ref="A4:T4"/>
    <mergeCell ref="B5:T5"/>
    <mergeCell ref="A9:T9"/>
    <mergeCell ref="D10:H10"/>
    <mergeCell ref="I10:M10"/>
    <mergeCell ref="O10:S10"/>
    <mergeCell ref="A16:R16"/>
    <mergeCell ref="A10:A11"/>
    <mergeCell ref="A12:A13"/>
    <mergeCell ref="A14:A15"/>
    <mergeCell ref="B10:B11"/>
    <mergeCell ref="B12:B13"/>
    <mergeCell ref="B14:B15"/>
    <mergeCell ref="N10:N11"/>
    <mergeCell ref="T10:T11"/>
    <mergeCell ref="T12:T13"/>
    <mergeCell ref="T14:T15"/>
    <mergeCell ref="C10:C11"/>
    <mergeCell ref="C12:C15"/>
  </mergeCells>
  <pageMargins left="0.7" right="0.7" top="0.75" bottom="0.75" header="0.3" footer="0.3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58"/>
  <sheetViews>
    <sheetView workbookViewId="0">
      <selection activeCell="Y15" sqref="Y15"/>
    </sheetView>
  </sheetViews>
  <sheetFormatPr defaultColWidth="9.140625" defaultRowHeight="11.25" x14ac:dyDescent="0.2"/>
  <cols>
    <col min="1" max="1" width="5" style="1" customWidth="1"/>
    <col min="2" max="2" width="25.7109375" style="2" customWidth="1"/>
    <col min="3" max="3" width="11.140625" style="2" customWidth="1"/>
    <col min="4" max="11" width="3.42578125" style="2" customWidth="1"/>
    <col min="12" max="19" width="4.42578125" style="2" customWidth="1"/>
    <col min="20" max="20" width="26.140625" style="2" customWidth="1"/>
    <col min="21" max="21" width="9.140625" style="2"/>
    <col min="22" max="22" width="32.28515625" style="2" customWidth="1"/>
    <col min="23" max="16384" width="9.140625" style="2"/>
  </cols>
  <sheetData>
    <row r="1" spans="1:20" ht="18" customHeight="1" x14ac:dyDescent="0.2">
      <c r="B1" s="192" t="s">
        <v>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20" ht="9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O2" s="3"/>
      <c r="P2" s="42" t="s">
        <v>153</v>
      </c>
      <c r="Q2" s="42"/>
      <c r="R2" s="42"/>
      <c r="S2" s="42"/>
      <c r="T2" s="42"/>
    </row>
    <row r="3" spans="1:20" ht="15" customHeight="1" x14ac:dyDescent="0.2">
      <c r="A3" s="193" t="s">
        <v>154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20" ht="50.25" customHeight="1" x14ac:dyDescent="0.2">
      <c r="A4" s="194" t="s">
        <v>155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</row>
    <row r="5" spans="1:20" ht="16.5" customHeight="1" x14ac:dyDescent="0.2">
      <c r="A5" s="4" t="s">
        <v>3</v>
      </c>
      <c r="B5" s="197" t="s">
        <v>156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9"/>
    </row>
    <row r="6" spans="1:20" ht="17.25" customHeight="1" x14ac:dyDescent="0.2">
      <c r="A6" s="5" t="s">
        <v>157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8"/>
    </row>
    <row r="7" spans="1:20" ht="33" customHeight="1" x14ac:dyDescent="0.2">
      <c r="A7" s="7" t="s">
        <v>158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59"/>
    </row>
    <row r="8" spans="1:20" ht="14.25" customHeight="1" x14ac:dyDescent="0.2">
      <c r="A8" s="9" t="s">
        <v>159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60">
        <v>0.2</v>
      </c>
    </row>
    <row r="9" spans="1:20" ht="25.5" customHeight="1" x14ac:dyDescent="0.2">
      <c r="A9" s="200" t="s">
        <v>160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2"/>
    </row>
    <row r="10" spans="1:20" ht="19.5" customHeight="1" x14ac:dyDescent="0.2">
      <c r="A10" s="207"/>
      <c r="B10" s="210"/>
      <c r="C10" s="217" t="s">
        <v>14</v>
      </c>
      <c r="D10" s="203" t="s">
        <v>161</v>
      </c>
      <c r="E10" s="203"/>
      <c r="F10" s="203"/>
      <c r="G10" s="203"/>
      <c r="H10" s="203"/>
      <c r="I10" s="203" t="s">
        <v>162</v>
      </c>
      <c r="J10" s="203"/>
      <c r="K10" s="203"/>
      <c r="L10" s="203"/>
      <c r="M10" s="203"/>
      <c r="N10" s="204" t="s">
        <v>163</v>
      </c>
      <c r="O10" s="204" t="s">
        <v>164</v>
      </c>
      <c r="P10" s="204"/>
      <c r="Q10" s="204"/>
      <c r="R10" s="204"/>
      <c r="S10" s="204"/>
      <c r="T10" s="213" t="s">
        <v>165</v>
      </c>
    </row>
    <row r="11" spans="1:20" ht="22.5" customHeight="1" x14ac:dyDescent="0.2">
      <c r="A11" s="208"/>
      <c r="B11" s="211"/>
      <c r="C11" s="218"/>
      <c r="D11" s="12" t="s">
        <v>8</v>
      </c>
      <c r="E11" s="12" t="s">
        <v>9</v>
      </c>
      <c r="F11" s="12" t="s">
        <v>10</v>
      </c>
      <c r="G11" s="12" t="s">
        <v>11</v>
      </c>
      <c r="H11" s="12" t="s">
        <v>166</v>
      </c>
      <c r="I11" s="12" t="s">
        <v>8</v>
      </c>
      <c r="J11" s="12" t="s">
        <v>9</v>
      </c>
      <c r="K11" s="12" t="s">
        <v>10</v>
      </c>
      <c r="L11" s="12" t="s">
        <v>11</v>
      </c>
      <c r="M11" s="12" t="s">
        <v>166</v>
      </c>
      <c r="N11" s="212"/>
      <c r="O11" s="12" t="s">
        <v>8</v>
      </c>
      <c r="P11" s="12" t="s">
        <v>9</v>
      </c>
      <c r="Q11" s="12" t="s">
        <v>10</v>
      </c>
      <c r="R11" s="12" t="s">
        <v>11</v>
      </c>
      <c r="S11" s="12" t="s">
        <v>166</v>
      </c>
      <c r="T11" s="214"/>
    </row>
    <row r="12" spans="1:20" ht="12.75" customHeight="1" x14ac:dyDescent="0.2">
      <c r="A12" s="209" t="s">
        <v>50</v>
      </c>
      <c r="B12" s="209" t="s">
        <v>167</v>
      </c>
      <c r="C12" s="219" t="s">
        <v>168</v>
      </c>
      <c r="D12" s="14">
        <v>80</v>
      </c>
      <c r="E12" s="15"/>
      <c r="F12" s="15"/>
      <c r="G12" s="15"/>
      <c r="H12" s="15">
        <f>(D12+E12+F12+G12)/4</f>
        <v>20</v>
      </c>
      <c r="I12" s="17"/>
      <c r="J12" s="17"/>
      <c r="K12" s="17"/>
      <c r="L12" s="17"/>
      <c r="M12" s="15">
        <f>(I12+J12+K12+L12)/4</f>
        <v>0</v>
      </c>
      <c r="N12" s="43">
        <v>1</v>
      </c>
      <c r="O12" s="43"/>
      <c r="P12" s="43"/>
      <c r="Q12" s="43"/>
      <c r="R12" s="43"/>
      <c r="S12" s="43">
        <f>SUM(O12:R12)/4</f>
        <v>0</v>
      </c>
      <c r="T12" s="215">
        <f>(H12+N12-0.2*S12)+(M12-0.2*S12)</f>
        <v>21</v>
      </c>
    </row>
    <row r="13" spans="1:20" ht="21.75" customHeight="1" x14ac:dyDescent="0.2">
      <c r="A13" s="209"/>
      <c r="B13" s="209"/>
      <c r="C13" s="219"/>
      <c r="D13" s="16"/>
      <c r="E13" s="15"/>
      <c r="F13" s="15"/>
      <c r="G13" s="15"/>
      <c r="H13" s="15"/>
      <c r="I13" s="16"/>
      <c r="J13" s="16"/>
      <c r="K13" s="16"/>
      <c r="L13" s="16"/>
      <c r="M13" s="16"/>
      <c r="N13" s="44"/>
      <c r="O13" s="45"/>
      <c r="P13" s="46"/>
      <c r="Q13" s="46"/>
      <c r="R13" s="46"/>
      <c r="S13" s="46"/>
      <c r="T13" s="216"/>
    </row>
    <row r="14" spans="1:20" ht="13.5" customHeight="1" x14ac:dyDescent="0.2">
      <c r="A14" s="209" t="s">
        <v>54</v>
      </c>
      <c r="B14" s="209" t="s">
        <v>169</v>
      </c>
      <c r="C14" s="219"/>
      <c r="D14" s="16">
        <v>80</v>
      </c>
      <c r="E14" s="16"/>
      <c r="F14" s="16"/>
      <c r="G14" s="16"/>
      <c r="H14" s="15">
        <f>(D14+E14+F14+G14)/4</f>
        <v>20</v>
      </c>
      <c r="I14" s="16"/>
      <c r="J14" s="16"/>
      <c r="K14" s="16"/>
      <c r="L14" s="16"/>
      <c r="M14" s="15">
        <f>(I14+J14+K14+L14)/4</f>
        <v>0</v>
      </c>
      <c r="N14" s="43">
        <v>1</v>
      </c>
      <c r="O14" s="43"/>
      <c r="P14" s="43"/>
      <c r="Q14" s="43"/>
      <c r="R14" s="43"/>
      <c r="S14" s="43">
        <f>SUM(O14:R14)/4</f>
        <v>0</v>
      </c>
      <c r="T14" s="215">
        <f>(H14+N14-0.2*S14)+(M14-0.2*S14)</f>
        <v>21</v>
      </c>
    </row>
    <row r="15" spans="1:20" ht="33" customHeight="1" x14ac:dyDescent="0.2">
      <c r="A15" s="209"/>
      <c r="B15" s="209"/>
      <c r="C15" s="21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47"/>
      <c r="O15" s="48"/>
      <c r="P15" s="46"/>
      <c r="Q15" s="46"/>
      <c r="R15" s="46"/>
      <c r="S15" s="46"/>
      <c r="T15" s="216"/>
    </row>
    <row r="16" spans="1:20" ht="21" customHeight="1" x14ac:dyDescent="0.2">
      <c r="A16" s="205" t="s">
        <v>29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61"/>
      <c r="T16" s="62">
        <f>T12+T14</f>
        <v>42</v>
      </c>
    </row>
    <row r="17" spans="1:20" ht="32.25" customHeight="1" x14ac:dyDescent="0.2">
      <c r="A17" s="356" t="s">
        <v>170</v>
      </c>
      <c r="B17" s="226"/>
      <c r="C17" s="226" t="s">
        <v>14</v>
      </c>
      <c r="D17" s="220" t="s">
        <v>31</v>
      </c>
      <c r="E17" s="220"/>
      <c r="F17" s="220"/>
      <c r="G17" s="220"/>
      <c r="H17" s="220" t="s">
        <v>32</v>
      </c>
      <c r="I17" s="220"/>
      <c r="J17" s="220"/>
      <c r="K17" s="220"/>
      <c r="L17" s="220" t="s">
        <v>33</v>
      </c>
      <c r="M17" s="220"/>
      <c r="N17" s="220"/>
      <c r="O17" s="220"/>
      <c r="P17" s="220" t="s">
        <v>34</v>
      </c>
      <c r="Q17" s="220"/>
      <c r="R17" s="220"/>
      <c r="S17" s="220"/>
      <c r="T17" s="309" t="s">
        <v>171</v>
      </c>
    </row>
    <row r="18" spans="1:20" ht="30" customHeight="1" x14ac:dyDescent="0.2">
      <c r="A18" s="357"/>
      <c r="B18" s="225"/>
      <c r="C18" s="225"/>
      <c r="D18" s="18" t="s">
        <v>35</v>
      </c>
      <c r="E18" s="18" t="s">
        <v>172</v>
      </c>
      <c r="F18" s="18" t="s">
        <v>37</v>
      </c>
      <c r="G18" s="18" t="s">
        <v>39</v>
      </c>
      <c r="H18" s="18" t="s">
        <v>172</v>
      </c>
      <c r="I18" s="18" t="s">
        <v>37</v>
      </c>
      <c r="J18" s="18" t="s">
        <v>35</v>
      </c>
      <c r="K18" s="18" t="s">
        <v>39</v>
      </c>
      <c r="L18" s="18" t="s">
        <v>172</v>
      </c>
      <c r="M18" s="18" t="s">
        <v>37</v>
      </c>
      <c r="N18" s="18" t="s">
        <v>35</v>
      </c>
      <c r="O18" s="18" t="s">
        <v>39</v>
      </c>
      <c r="P18" s="18" t="s">
        <v>172</v>
      </c>
      <c r="Q18" s="18" t="s">
        <v>37</v>
      </c>
      <c r="R18" s="18" t="s">
        <v>35</v>
      </c>
      <c r="S18" s="18" t="s">
        <v>39</v>
      </c>
      <c r="T18" s="310"/>
    </row>
    <row r="19" spans="1:20" ht="11.25" customHeight="1" x14ac:dyDescent="0.2">
      <c r="A19" s="223" t="s">
        <v>50</v>
      </c>
      <c r="B19" s="224" t="s">
        <v>173</v>
      </c>
      <c r="C19" s="13" t="s">
        <v>174</v>
      </c>
      <c r="D19" s="15"/>
      <c r="E19" s="15"/>
      <c r="F19" s="15"/>
      <c r="G19" s="225">
        <f>D19+E19+F19+D20+E20+F20+D21+E21+F21</f>
        <v>160</v>
      </c>
      <c r="H19" s="15"/>
      <c r="I19" s="15"/>
      <c r="J19" s="15"/>
      <c r="K19" s="225">
        <f>H19+I19+J19+H20+I20+J20+H21+I21+J21</f>
        <v>0</v>
      </c>
      <c r="L19" s="15"/>
      <c r="M19" s="15"/>
      <c r="N19" s="15"/>
      <c r="O19" s="225">
        <f>L19+M19+N19+L20+M20+N20+L21+M21+N21</f>
        <v>0</v>
      </c>
      <c r="P19" s="15"/>
      <c r="Q19" s="15"/>
      <c r="R19" s="15"/>
      <c r="S19" s="225">
        <f t="shared" ref="S19" si="0">P19+Q19+R19+P20++Q20+R20+P21+Q21+R21</f>
        <v>0</v>
      </c>
      <c r="T19" s="310">
        <f>(G19+K19+O19+S19)/4</f>
        <v>40</v>
      </c>
    </row>
    <row r="20" spans="1:20" ht="11.25" customHeight="1" x14ac:dyDescent="0.2">
      <c r="A20" s="223"/>
      <c r="B20" s="224"/>
      <c r="C20" s="13" t="s">
        <v>175</v>
      </c>
      <c r="D20" s="15">
        <v>160</v>
      </c>
      <c r="E20" s="15"/>
      <c r="F20" s="15"/>
      <c r="G20" s="225"/>
      <c r="H20" s="15"/>
      <c r="I20" s="15"/>
      <c r="J20" s="15"/>
      <c r="K20" s="225"/>
      <c r="L20" s="15"/>
      <c r="M20" s="15"/>
      <c r="N20" s="15"/>
      <c r="O20" s="225"/>
      <c r="P20" s="15"/>
      <c r="Q20" s="15"/>
      <c r="R20" s="15"/>
      <c r="S20" s="225"/>
      <c r="T20" s="310"/>
    </row>
    <row r="21" spans="1:20" ht="28.5" customHeight="1" x14ac:dyDescent="0.2">
      <c r="A21" s="223"/>
      <c r="B21" s="224"/>
      <c r="C21" s="13" t="s">
        <v>176</v>
      </c>
      <c r="D21" s="15"/>
      <c r="E21" s="15"/>
      <c r="F21" s="15"/>
      <c r="G21" s="225"/>
      <c r="H21" s="15"/>
      <c r="I21" s="15"/>
      <c r="J21" s="15"/>
      <c r="K21" s="225"/>
      <c r="L21" s="15"/>
      <c r="M21" s="15"/>
      <c r="N21" s="15"/>
      <c r="O21" s="225"/>
      <c r="P21" s="15"/>
      <c r="Q21" s="15"/>
      <c r="R21" s="15"/>
      <c r="S21" s="225"/>
      <c r="T21" s="310"/>
    </row>
    <row r="22" spans="1:20" ht="20.25" customHeight="1" x14ac:dyDescent="0.2">
      <c r="A22" s="221" t="s">
        <v>48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1"/>
      <c r="T22" s="63">
        <f>T19</f>
        <v>40</v>
      </c>
    </row>
    <row r="23" spans="1:20" ht="21.75" customHeight="1" x14ac:dyDescent="0.2">
      <c r="A23" s="352" t="s">
        <v>177</v>
      </c>
      <c r="B23" s="353"/>
      <c r="C23" s="226" t="s">
        <v>14</v>
      </c>
      <c r="D23" s="220" t="s">
        <v>31</v>
      </c>
      <c r="E23" s="220"/>
      <c r="F23" s="220"/>
      <c r="G23" s="220"/>
      <c r="H23" s="220" t="s">
        <v>32</v>
      </c>
      <c r="I23" s="220"/>
      <c r="J23" s="220"/>
      <c r="K23" s="220"/>
      <c r="L23" s="220" t="s">
        <v>33</v>
      </c>
      <c r="M23" s="220"/>
      <c r="N23" s="220"/>
      <c r="O23" s="220"/>
      <c r="P23" s="220" t="s">
        <v>34</v>
      </c>
      <c r="Q23" s="220"/>
      <c r="R23" s="220"/>
      <c r="S23" s="220"/>
      <c r="T23" s="311" t="s">
        <v>171</v>
      </c>
    </row>
    <row r="24" spans="1:20" ht="21.75" customHeight="1" x14ac:dyDescent="0.2">
      <c r="A24" s="354"/>
      <c r="B24" s="355"/>
      <c r="C24" s="225"/>
      <c r="D24" s="227" t="s">
        <v>37</v>
      </c>
      <c r="E24" s="228"/>
      <c r="F24" s="228"/>
      <c r="G24" s="229"/>
      <c r="H24" s="227" t="s">
        <v>37</v>
      </c>
      <c r="I24" s="228"/>
      <c r="J24" s="228"/>
      <c r="K24" s="229"/>
      <c r="L24" s="227" t="s">
        <v>37</v>
      </c>
      <c r="M24" s="228"/>
      <c r="N24" s="228"/>
      <c r="O24" s="229"/>
      <c r="P24" s="227" t="s">
        <v>37</v>
      </c>
      <c r="Q24" s="228"/>
      <c r="R24" s="228"/>
      <c r="S24" s="229"/>
      <c r="T24" s="312"/>
    </row>
    <row r="25" spans="1:20" ht="10.5" customHeight="1" x14ac:dyDescent="0.2">
      <c r="A25" s="223" t="s">
        <v>50</v>
      </c>
      <c r="B25" s="373" t="s">
        <v>51</v>
      </c>
      <c r="C25" s="22" t="s">
        <v>52</v>
      </c>
      <c r="D25" s="225">
        <v>40</v>
      </c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310">
        <f>(D25+H25+L25+P25+D26+H26+L26+P26)/4</f>
        <v>10</v>
      </c>
    </row>
    <row r="26" spans="1:20" ht="10.5" customHeight="1" x14ac:dyDescent="0.2">
      <c r="A26" s="223"/>
      <c r="B26" s="374"/>
      <c r="C26" s="23" t="s">
        <v>178</v>
      </c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310"/>
    </row>
    <row r="27" spans="1:20" ht="10.5" customHeight="1" x14ac:dyDescent="0.2">
      <c r="A27" s="223" t="s">
        <v>54</v>
      </c>
      <c r="B27" s="331" t="s">
        <v>55</v>
      </c>
      <c r="C27" s="23" t="s">
        <v>56</v>
      </c>
      <c r="D27" s="225">
        <v>40</v>
      </c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310">
        <f>(D27+H27+L27+P27+D28+H28+L28+P28)/4</f>
        <v>10</v>
      </c>
    </row>
    <row r="28" spans="1:20" ht="10.5" customHeight="1" x14ac:dyDescent="0.2">
      <c r="A28" s="223"/>
      <c r="B28" s="331"/>
      <c r="C28" s="23" t="s">
        <v>178</v>
      </c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310"/>
    </row>
    <row r="29" spans="1:20" ht="10.5" customHeight="1" x14ac:dyDescent="0.2">
      <c r="A29" s="223" t="s">
        <v>57</v>
      </c>
      <c r="B29" s="331" t="s">
        <v>58</v>
      </c>
      <c r="C29" s="13" t="s">
        <v>59</v>
      </c>
      <c r="D29" s="225">
        <v>40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310">
        <f>(D29+H29+L29+P29+D30+H30+L30+P30)/4</f>
        <v>10</v>
      </c>
    </row>
    <row r="30" spans="1:20" ht="10.5" customHeight="1" x14ac:dyDescent="0.2">
      <c r="A30" s="292"/>
      <c r="B30" s="375"/>
      <c r="C30" s="24" t="s">
        <v>179</v>
      </c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310"/>
    </row>
    <row r="31" spans="1:20" ht="10.5" customHeight="1" x14ac:dyDescent="0.2">
      <c r="A31" s="243" t="s">
        <v>61</v>
      </c>
      <c r="B31" s="325" t="s">
        <v>62</v>
      </c>
      <c r="C31" s="26" t="s">
        <v>63</v>
      </c>
      <c r="D31" s="225">
        <v>40</v>
      </c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313">
        <f>(D31+H31+L31+P31+D32+H32+L32+P32+D33+H33+L33+P33)/4</f>
        <v>10</v>
      </c>
    </row>
    <row r="32" spans="1:20" ht="10.5" customHeight="1" x14ac:dyDescent="0.2">
      <c r="A32" s="223"/>
      <c r="B32" s="331"/>
      <c r="C32" s="27" t="s">
        <v>180</v>
      </c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313"/>
    </row>
    <row r="33" spans="1:20" ht="10.5" customHeight="1" x14ac:dyDescent="0.2">
      <c r="A33" s="244"/>
      <c r="B33" s="326"/>
      <c r="C33" s="29" t="s">
        <v>181</v>
      </c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313"/>
    </row>
    <row r="34" spans="1:20" ht="18.75" customHeight="1" x14ac:dyDescent="0.2">
      <c r="A34" s="230" t="s">
        <v>66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2"/>
      <c r="T34" s="64">
        <f>T25+T27+T29+T31</f>
        <v>40</v>
      </c>
    </row>
    <row r="35" spans="1:20" ht="25.5" customHeight="1" x14ac:dyDescent="0.2">
      <c r="A35" s="233" t="s">
        <v>67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65">
        <f>T16+T22+T34</f>
        <v>122</v>
      </c>
    </row>
    <row r="36" spans="1:20" ht="18.75" customHeight="1" x14ac:dyDescent="0.2">
      <c r="A36" s="30" t="s">
        <v>182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6"/>
    </row>
    <row r="37" spans="1:20" ht="15" customHeight="1" x14ac:dyDescent="0.2">
      <c r="A37" s="32" t="s">
        <v>183</v>
      </c>
      <c r="B37" s="33"/>
      <c r="C37" s="33"/>
      <c r="D37" s="33"/>
      <c r="E37" s="33"/>
      <c r="F37" s="33"/>
      <c r="G37" s="33"/>
      <c r="H37" s="33"/>
      <c r="I37" s="33"/>
      <c r="J37" s="235" t="s">
        <v>184</v>
      </c>
      <c r="K37" s="235"/>
      <c r="L37" s="235"/>
      <c r="M37" s="235"/>
      <c r="N37" s="235"/>
      <c r="O37" s="236"/>
      <c r="P37" s="49" t="s">
        <v>185</v>
      </c>
      <c r="Q37" s="49" t="s">
        <v>186</v>
      </c>
      <c r="R37" s="67" t="s">
        <v>187</v>
      </c>
      <c r="S37" s="49" t="s">
        <v>188</v>
      </c>
      <c r="T37" s="68" t="s">
        <v>165</v>
      </c>
    </row>
    <row r="38" spans="1:20" ht="10.5" customHeight="1" x14ac:dyDescent="0.2">
      <c r="A38" s="293" t="s">
        <v>71</v>
      </c>
      <c r="B38" s="349" t="s">
        <v>189</v>
      </c>
      <c r="C38" s="240"/>
      <c r="D38" s="240"/>
      <c r="E38" s="240"/>
      <c r="F38" s="240"/>
      <c r="G38" s="240"/>
      <c r="H38" s="240"/>
      <c r="I38" s="240"/>
      <c r="J38" s="237" t="s">
        <v>190</v>
      </c>
      <c r="K38" s="237"/>
      <c r="L38" s="237"/>
      <c r="M38" s="237"/>
      <c r="N38" s="237"/>
      <c r="O38" s="237"/>
      <c r="P38" s="50">
        <v>50</v>
      </c>
      <c r="Q38" s="50"/>
      <c r="R38" s="50"/>
      <c r="S38" s="50"/>
      <c r="T38" s="69">
        <f>P38+Q38+R38+S38/4</f>
        <v>50</v>
      </c>
    </row>
    <row r="39" spans="1:20" ht="10.5" customHeight="1" x14ac:dyDescent="0.2">
      <c r="A39" s="294"/>
      <c r="B39" s="350"/>
      <c r="C39" s="350"/>
      <c r="D39" s="350"/>
      <c r="E39" s="350"/>
      <c r="F39" s="350"/>
      <c r="G39" s="350"/>
      <c r="H39" s="350"/>
      <c r="I39" s="350"/>
      <c r="J39" s="238" t="s">
        <v>191</v>
      </c>
      <c r="K39" s="238"/>
      <c r="L39" s="238"/>
      <c r="M39" s="238"/>
      <c r="N39" s="238"/>
      <c r="O39" s="238"/>
      <c r="P39" s="51"/>
      <c r="Q39" s="51"/>
      <c r="R39" s="51"/>
      <c r="S39" s="51"/>
      <c r="T39" s="69">
        <f t="shared" ref="T39:T43" si="1">P39+Q39+R39+S39/4</f>
        <v>0</v>
      </c>
    </row>
    <row r="40" spans="1:20" ht="10.5" customHeight="1" x14ac:dyDescent="0.2">
      <c r="A40" s="294"/>
      <c r="B40" s="350"/>
      <c r="C40" s="350"/>
      <c r="D40" s="350"/>
      <c r="E40" s="350"/>
      <c r="F40" s="350"/>
      <c r="G40" s="350"/>
      <c r="H40" s="350"/>
      <c r="I40" s="350"/>
      <c r="J40" s="238" t="s">
        <v>192</v>
      </c>
      <c r="K40" s="238"/>
      <c r="L40" s="238"/>
      <c r="M40" s="238"/>
      <c r="N40" s="238"/>
      <c r="O40" s="238"/>
      <c r="P40" s="51"/>
      <c r="Q40" s="51"/>
      <c r="R40" s="51"/>
      <c r="S40" s="51"/>
      <c r="T40" s="69">
        <f t="shared" si="1"/>
        <v>0</v>
      </c>
    </row>
    <row r="41" spans="1:20" ht="10.5" customHeight="1" x14ac:dyDescent="0.2">
      <c r="A41" s="294"/>
      <c r="B41" s="350"/>
      <c r="C41" s="350"/>
      <c r="D41" s="350"/>
      <c r="E41" s="350"/>
      <c r="F41" s="350"/>
      <c r="G41" s="350"/>
      <c r="H41" s="350"/>
      <c r="I41" s="350"/>
      <c r="J41" s="238" t="s">
        <v>193</v>
      </c>
      <c r="K41" s="238"/>
      <c r="L41" s="238"/>
      <c r="M41" s="238"/>
      <c r="N41" s="238"/>
      <c r="O41" s="238"/>
      <c r="P41" s="51"/>
      <c r="Q41" s="51"/>
      <c r="R41" s="51"/>
      <c r="S41" s="51"/>
      <c r="T41" s="69">
        <f t="shared" si="1"/>
        <v>0</v>
      </c>
    </row>
    <row r="42" spans="1:20" ht="10.5" customHeight="1" x14ac:dyDescent="0.2">
      <c r="A42" s="294"/>
      <c r="B42" s="350"/>
      <c r="C42" s="350"/>
      <c r="D42" s="350"/>
      <c r="E42" s="350"/>
      <c r="F42" s="350"/>
      <c r="G42" s="350"/>
      <c r="H42" s="350"/>
      <c r="I42" s="350"/>
      <c r="J42" s="238" t="s">
        <v>194</v>
      </c>
      <c r="K42" s="238"/>
      <c r="L42" s="238"/>
      <c r="M42" s="238"/>
      <c r="N42" s="238"/>
      <c r="O42" s="238"/>
      <c r="P42" s="51"/>
      <c r="Q42" s="51"/>
      <c r="R42" s="51"/>
      <c r="S42" s="51"/>
      <c r="T42" s="69">
        <f t="shared" si="1"/>
        <v>0</v>
      </c>
    </row>
    <row r="43" spans="1:20" ht="17.25" customHeight="1" x14ac:dyDescent="0.2">
      <c r="A43" s="295"/>
      <c r="B43" s="351"/>
      <c r="C43" s="351"/>
      <c r="D43" s="351"/>
      <c r="E43" s="351"/>
      <c r="F43" s="351"/>
      <c r="G43" s="351"/>
      <c r="H43" s="351"/>
      <c r="I43" s="351"/>
      <c r="J43" s="239" t="s">
        <v>195</v>
      </c>
      <c r="K43" s="239"/>
      <c r="L43" s="239"/>
      <c r="M43" s="239"/>
      <c r="N43" s="239"/>
      <c r="O43" s="239"/>
      <c r="P43" s="52"/>
      <c r="Q43" s="52"/>
      <c r="R43" s="52"/>
      <c r="S43" s="52"/>
      <c r="T43" s="69">
        <f t="shared" si="1"/>
        <v>0</v>
      </c>
    </row>
    <row r="44" spans="1:20" ht="16.5" customHeight="1" x14ac:dyDescent="0.2">
      <c r="A44" s="34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53"/>
      <c r="M44" s="53"/>
      <c r="N44" s="53"/>
      <c r="O44" s="54"/>
      <c r="P44" s="55"/>
      <c r="Q44" s="55"/>
      <c r="R44" s="55"/>
      <c r="S44" s="55"/>
      <c r="T44" s="70">
        <f>T38+T39+T40+T41+T42+T43</f>
        <v>50</v>
      </c>
    </row>
    <row r="45" spans="1:20" ht="11.25" customHeight="1" x14ac:dyDescent="0.2">
      <c r="A45" s="243" t="s">
        <v>79</v>
      </c>
      <c r="B45" s="226" t="s">
        <v>80</v>
      </c>
      <c r="C45" s="220"/>
      <c r="D45" s="220"/>
      <c r="E45" s="220"/>
      <c r="F45" s="220"/>
      <c r="G45" s="220"/>
      <c r="H45" s="220"/>
      <c r="I45" s="220"/>
      <c r="J45" s="237" t="s">
        <v>94</v>
      </c>
      <c r="K45" s="237"/>
      <c r="L45" s="237"/>
      <c r="M45" s="237"/>
      <c r="N45" s="237"/>
      <c r="O45" s="237"/>
      <c r="P45" s="50"/>
      <c r="Q45" s="50"/>
      <c r="R45" s="50"/>
      <c r="S45" s="50"/>
      <c r="T45" s="69">
        <f>P45+Q45+R45+S45</f>
        <v>0</v>
      </c>
    </row>
    <row r="46" spans="1:20" ht="11.25" customHeight="1" x14ac:dyDescent="0.2">
      <c r="A46" s="223"/>
      <c r="B46" s="216"/>
      <c r="C46" s="216"/>
      <c r="D46" s="216"/>
      <c r="E46" s="216"/>
      <c r="F46" s="216"/>
      <c r="G46" s="216"/>
      <c r="H46" s="216"/>
      <c r="I46" s="216"/>
      <c r="J46" s="238" t="s">
        <v>196</v>
      </c>
      <c r="K46" s="238"/>
      <c r="L46" s="238"/>
      <c r="M46" s="238"/>
      <c r="N46" s="238"/>
      <c r="O46" s="238"/>
      <c r="P46" s="51"/>
      <c r="Q46" s="51"/>
      <c r="R46" s="51"/>
      <c r="S46" s="51"/>
      <c r="T46" s="69">
        <f t="shared" ref="T46:T49" si="2">P46+Q46+R46+S46</f>
        <v>0</v>
      </c>
    </row>
    <row r="47" spans="1:20" ht="11.25" customHeight="1" x14ac:dyDescent="0.2">
      <c r="A47" s="223"/>
      <c r="B47" s="216"/>
      <c r="C47" s="216"/>
      <c r="D47" s="216"/>
      <c r="E47" s="216"/>
      <c r="F47" s="216"/>
      <c r="G47" s="216"/>
      <c r="H47" s="216"/>
      <c r="I47" s="216"/>
      <c r="J47" s="238" t="s">
        <v>197</v>
      </c>
      <c r="K47" s="238"/>
      <c r="L47" s="238"/>
      <c r="M47" s="238"/>
      <c r="N47" s="238"/>
      <c r="O47" s="238"/>
      <c r="P47" s="51"/>
      <c r="Q47" s="51"/>
      <c r="R47" s="51"/>
      <c r="S47" s="51"/>
      <c r="T47" s="69">
        <f t="shared" si="2"/>
        <v>0</v>
      </c>
    </row>
    <row r="48" spans="1:20" ht="11.25" customHeight="1" x14ac:dyDescent="0.2">
      <c r="A48" s="223"/>
      <c r="B48" s="216"/>
      <c r="C48" s="216"/>
      <c r="D48" s="216"/>
      <c r="E48" s="216"/>
      <c r="F48" s="216"/>
      <c r="G48" s="216"/>
      <c r="H48" s="216"/>
      <c r="I48" s="216"/>
      <c r="J48" s="238" t="s">
        <v>198</v>
      </c>
      <c r="K48" s="238"/>
      <c r="L48" s="238"/>
      <c r="M48" s="238"/>
      <c r="N48" s="238"/>
      <c r="O48" s="238"/>
      <c r="P48" s="51"/>
      <c r="Q48" s="51"/>
      <c r="R48" s="51"/>
      <c r="S48" s="51"/>
      <c r="T48" s="69">
        <f t="shared" si="2"/>
        <v>0</v>
      </c>
    </row>
    <row r="49" spans="1:20" ht="11.25" customHeight="1" x14ac:dyDescent="0.2">
      <c r="A49" s="223"/>
      <c r="B49" s="216"/>
      <c r="C49" s="216"/>
      <c r="D49" s="216"/>
      <c r="E49" s="216"/>
      <c r="F49" s="216"/>
      <c r="G49" s="216"/>
      <c r="H49" s="216"/>
      <c r="I49" s="216"/>
      <c r="J49" s="238" t="s">
        <v>199</v>
      </c>
      <c r="K49" s="238"/>
      <c r="L49" s="238"/>
      <c r="M49" s="238"/>
      <c r="N49" s="238"/>
      <c r="O49" s="238"/>
      <c r="P49" s="51"/>
      <c r="Q49" s="51"/>
      <c r="R49" s="51"/>
      <c r="S49" s="51"/>
      <c r="T49" s="69">
        <f t="shared" si="2"/>
        <v>0</v>
      </c>
    </row>
    <row r="50" spans="1:20" ht="18.75" customHeight="1" x14ac:dyDescent="0.2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56"/>
      <c r="M50" s="56"/>
      <c r="N50" s="56"/>
      <c r="O50" s="56"/>
      <c r="P50" s="57"/>
      <c r="Q50" s="55"/>
      <c r="R50" s="55"/>
      <c r="S50" s="71"/>
      <c r="T50" s="72">
        <f>T45+T46+T47+T48+T49</f>
        <v>0</v>
      </c>
    </row>
    <row r="51" spans="1:20" ht="18.75" customHeight="1" x14ac:dyDescent="0.2">
      <c r="A51" s="243" t="s">
        <v>81</v>
      </c>
      <c r="B51" s="226" t="s">
        <v>82</v>
      </c>
      <c r="C51" s="220"/>
      <c r="D51" s="220"/>
      <c r="E51" s="220"/>
      <c r="F51" s="220"/>
      <c r="G51" s="220"/>
      <c r="H51" s="220"/>
      <c r="I51" s="220"/>
      <c r="J51" s="237" t="s">
        <v>94</v>
      </c>
      <c r="K51" s="237"/>
      <c r="L51" s="237"/>
      <c r="M51" s="237"/>
      <c r="N51" s="237"/>
      <c r="O51" s="237"/>
      <c r="P51" s="50"/>
      <c r="Q51" s="50"/>
      <c r="R51" s="50"/>
      <c r="S51" s="50"/>
      <c r="T51" s="69">
        <f>P51+Q51+R51+S51</f>
        <v>0</v>
      </c>
    </row>
    <row r="52" spans="1:20" ht="18.75" customHeight="1" x14ac:dyDescent="0.2">
      <c r="A52" s="223"/>
      <c r="B52" s="216"/>
      <c r="C52" s="216"/>
      <c r="D52" s="216"/>
      <c r="E52" s="216"/>
      <c r="F52" s="216"/>
      <c r="G52" s="216"/>
      <c r="H52" s="216"/>
      <c r="I52" s="216"/>
      <c r="J52" s="238" t="s">
        <v>196</v>
      </c>
      <c r="K52" s="238"/>
      <c r="L52" s="238"/>
      <c r="M52" s="238"/>
      <c r="N52" s="238"/>
      <c r="O52" s="238"/>
      <c r="P52" s="51"/>
      <c r="Q52" s="51"/>
      <c r="R52" s="51"/>
      <c r="S52" s="51"/>
      <c r="T52" s="69">
        <f t="shared" ref="T52:T55" si="3">P52+Q52+R52+S52</f>
        <v>0</v>
      </c>
    </row>
    <row r="53" spans="1:20" ht="18.75" customHeight="1" x14ac:dyDescent="0.2">
      <c r="A53" s="223"/>
      <c r="B53" s="216"/>
      <c r="C53" s="216"/>
      <c r="D53" s="216"/>
      <c r="E53" s="216"/>
      <c r="F53" s="216"/>
      <c r="G53" s="216"/>
      <c r="H53" s="216"/>
      <c r="I53" s="216"/>
      <c r="J53" s="238" t="s">
        <v>197</v>
      </c>
      <c r="K53" s="238"/>
      <c r="L53" s="238"/>
      <c r="M53" s="238"/>
      <c r="N53" s="238"/>
      <c r="O53" s="238"/>
      <c r="P53" s="51"/>
      <c r="Q53" s="51"/>
      <c r="R53" s="51"/>
      <c r="S53" s="51"/>
      <c r="T53" s="69">
        <f t="shared" si="3"/>
        <v>0</v>
      </c>
    </row>
    <row r="54" spans="1:20" ht="18.75" customHeight="1" x14ac:dyDescent="0.2">
      <c r="A54" s="223"/>
      <c r="B54" s="216"/>
      <c r="C54" s="216"/>
      <c r="D54" s="216"/>
      <c r="E54" s="216"/>
      <c r="F54" s="216"/>
      <c r="G54" s="216"/>
      <c r="H54" s="216"/>
      <c r="I54" s="216"/>
      <c r="J54" s="238" t="s">
        <v>198</v>
      </c>
      <c r="K54" s="238"/>
      <c r="L54" s="238"/>
      <c r="M54" s="238"/>
      <c r="N54" s="238"/>
      <c r="O54" s="238"/>
      <c r="P54" s="51"/>
      <c r="Q54" s="51"/>
      <c r="R54" s="51"/>
      <c r="S54" s="51"/>
      <c r="T54" s="69">
        <f t="shared" si="3"/>
        <v>0</v>
      </c>
    </row>
    <row r="55" spans="1:20" ht="18.75" customHeight="1" x14ac:dyDescent="0.2">
      <c r="A55" s="223"/>
      <c r="B55" s="216"/>
      <c r="C55" s="216"/>
      <c r="D55" s="216"/>
      <c r="E55" s="216"/>
      <c r="F55" s="216"/>
      <c r="G55" s="216"/>
      <c r="H55" s="216"/>
      <c r="I55" s="216"/>
      <c r="J55" s="238" t="s">
        <v>199</v>
      </c>
      <c r="K55" s="238"/>
      <c r="L55" s="238"/>
      <c r="M55" s="238"/>
      <c r="N55" s="238"/>
      <c r="O55" s="238"/>
      <c r="P55" s="51"/>
      <c r="Q55" s="51"/>
      <c r="R55" s="51"/>
      <c r="S55" s="51"/>
      <c r="T55" s="69">
        <f t="shared" si="3"/>
        <v>0</v>
      </c>
    </row>
    <row r="56" spans="1:20" ht="18.75" customHeight="1" x14ac:dyDescent="0.2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56"/>
      <c r="M56" s="56"/>
      <c r="N56" s="56"/>
      <c r="O56" s="56"/>
      <c r="P56" s="57"/>
      <c r="Q56" s="55"/>
      <c r="R56" s="55"/>
      <c r="S56" s="71"/>
      <c r="T56" s="72">
        <f>T51+T52+T53+T54+T55</f>
        <v>0</v>
      </c>
    </row>
    <row r="57" spans="1:20" ht="9.75" customHeight="1" x14ac:dyDescent="0.2">
      <c r="A57" s="243" t="s">
        <v>83</v>
      </c>
      <c r="B57" s="255" t="s">
        <v>200</v>
      </c>
      <c r="C57" s="255"/>
      <c r="D57" s="255"/>
      <c r="E57" s="255"/>
      <c r="F57" s="255"/>
      <c r="G57" s="255"/>
      <c r="H57" s="255"/>
      <c r="I57" s="255"/>
      <c r="J57" s="237" t="s">
        <v>201</v>
      </c>
      <c r="K57" s="237"/>
      <c r="L57" s="237"/>
      <c r="M57" s="237"/>
      <c r="N57" s="237"/>
      <c r="O57" s="237"/>
      <c r="P57" s="50"/>
      <c r="Q57" s="50"/>
      <c r="R57" s="50"/>
      <c r="S57" s="50"/>
      <c r="T57" s="69">
        <f>P57+Q57+R57+S57</f>
        <v>0</v>
      </c>
    </row>
    <row r="58" spans="1:20" ht="9.75" customHeight="1" x14ac:dyDescent="0.2">
      <c r="A58" s="223"/>
      <c r="B58" s="219"/>
      <c r="C58" s="219"/>
      <c r="D58" s="219"/>
      <c r="E58" s="219"/>
      <c r="F58" s="219"/>
      <c r="G58" s="219"/>
      <c r="H58" s="219"/>
      <c r="I58" s="219"/>
      <c r="J58" s="238" t="s">
        <v>202</v>
      </c>
      <c r="K58" s="238"/>
      <c r="L58" s="238"/>
      <c r="M58" s="238"/>
      <c r="N58" s="238"/>
      <c r="O58" s="238"/>
      <c r="P58" s="51"/>
      <c r="Q58" s="51"/>
      <c r="R58" s="51"/>
      <c r="S58" s="51"/>
      <c r="T58" s="69">
        <f t="shared" ref="T58:T61" si="4">P58+Q58+R58+S58</f>
        <v>0</v>
      </c>
    </row>
    <row r="59" spans="1:20" ht="9.75" customHeight="1" x14ac:dyDescent="0.2">
      <c r="A59" s="223"/>
      <c r="B59" s="219"/>
      <c r="C59" s="219"/>
      <c r="D59" s="219"/>
      <c r="E59" s="219"/>
      <c r="F59" s="219"/>
      <c r="G59" s="219"/>
      <c r="H59" s="219"/>
      <c r="I59" s="219"/>
      <c r="J59" s="238" t="s">
        <v>203</v>
      </c>
      <c r="K59" s="238"/>
      <c r="L59" s="238"/>
      <c r="M59" s="238"/>
      <c r="N59" s="238"/>
      <c r="O59" s="238"/>
      <c r="P59" s="51">
        <v>10</v>
      </c>
      <c r="Q59" s="51">
        <v>10</v>
      </c>
      <c r="R59" s="51"/>
      <c r="S59" s="51"/>
      <c r="T59" s="69">
        <f t="shared" si="4"/>
        <v>20</v>
      </c>
    </row>
    <row r="60" spans="1:20" ht="9.75" customHeight="1" x14ac:dyDescent="0.2">
      <c r="A60" s="223"/>
      <c r="B60" s="219"/>
      <c r="C60" s="219"/>
      <c r="D60" s="219"/>
      <c r="E60" s="219"/>
      <c r="F60" s="219"/>
      <c r="G60" s="219"/>
      <c r="H60" s="219"/>
      <c r="I60" s="219"/>
      <c r="J60" s="238" t="s">
        <v>204</v>
      </c>
      <c r="K60" s="238"/>
      <c r="L60" s="238"/>
      <c r="M60" s="238"/>
      <c r="N60" s="238"/>
      <c r="O60" s="238"/>
      <c r="P60" s="51">
        <v>15</v>
      </c>
      <c r="Q60" s="51"/>
      <c r="R60" s="51"/>
      <c r="S60" s="51"/>
      <c r="T60" s="69">
        <f t="shared" si="4"/>
        <v>15</v>
      </c>
    </row>
    <row r="61" spans="1:20" ht="78" customHeight="1" x14ac:dyDescent="0.2">
      <c r="A61" s="244"/>
      <c r="B61" s="256"/>
      <c r="C61" s="256"/>
      <c r="D61" s="256"/>
      <c r="E61" s="256"/>
      <c r="F61" s="256"/>
      <c r="G61" s="256"/>
      <c r="H61" s="256"/>
      <c r="I61" s="256"/>
      <c r="J61" s="245" t="s">
        <v>205</v>
      </c>
      <c r="K61" s="245"/>
      <c r="L61" s="245"/>
      <c r="M61" s="245"/>
      <c r="N61" s="245"/>
      <c r="O61" s="245"/>
      <c r="P61" s="52"/>
      <c r="Q61" s="52"/>
      <c r="R61" s="52"/>
      <c r="S61" s="52"/>
      <c r="T61" s="69">
        <f t="shared" si="4"/>
        <v>0</v>
      </c>
    </row>
    <row r="62" spans="1:20" ht="16.5" customHeight="1" x14ac:dyDescent="0.2">
      <c r="A62" s="3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56"/>
      <c r="M62" s="56"/>
      <c r="N62" s="56"/>
      <c r="O62" s="56"/>
      <c r="P62" s="57"/>
      <c r="Q62" s="55"/>
      <c r="R62" s="55"/>
      <c r="S62" s="71"/>
      <c r="T62" s="73">
        <f>T57+T58+T59+T61</f>
        <v>20</v>
      </c>
    </row>
    <row r="63" spans="1:20" ht="18" customHeight="1" x14ac:dyDescent="0.2">
      <c r="A63" s="243" t="s">
        <v>89</v>
      </c>
      <c r="B63" s="249" t="s">
        <v>88</v>
      </c>
      <c r="C63" s="250"/>
      <c r="D63" s="250"/>
      <c r="E63" s="250"/>
      <c r="F63" s="250"/>
      <c r="G63" s="250"/>
      <c r="H63" s="250"/>
      <c r="I63" s="250"/>
      <c r="J63" s="237" t="s">
        <v>206</v>
      </c>
      <c r="K63" s="237"/>
      <c r="L63" s="237"/>
      <c r="M63" s="237"/>
      <c r="N63" s="237"/>
      <c r="O63" s="237"/>
      <c r="P63" s="50">
        <v>3</v>
      </c>
      <c r="Q63" s="50"/>
      <c r="R63" s="50"/>
      <c r="S63" s="50"/>
      <c r="T63" s="74">
        <f>P63+Q63+R63+S63</f>
        <v>3</v>
      </c>
    </row>
    <row r="64" spans="1:20" ht="10.5" customHeight="1" x14ac:dyDescent="0.2">
      <c r="A64" s="223"/>
      <c r="B64" s="251"/>
      <c r="C64" s="252"/>
      <c r="D64" s="252"/>
      <c r="E64" s="252"/>
      <c r="F64" s="252"/>
      <c r="G64" s="252"/>
      <c r="H64" s="252"/>
      <c r="I64" s="252"/>
      <c r="J64" s="238" t="s">
        <v>207</v>
      </c>
      <c r="K64" s="238"/>
      <c r="L64" s="238"/>
      <c r="M64" s="238"/>
      <c r="N64" s="238"/>
      <c r="O64" s="238"/>
      <c r="P64" s="51"/>
      <c r="Q64" s="51"/>
      <c r="R64" s="51"/>
      <c r="S64" s="51"/>
      <c r="T64" s="74">
        <f t="shared" ref="T64:T67" si="5">P64+Q64+R64+S64</f>
        <v>0</v>
      </c>
    </row>
    <row r="65" spans="1:20" ht="10.5" customHeight="1" x14ac:dyDescent="0.2">
      <c r="A65" s="223"/>
      <c r="B65" s="251"/>
      <c r="C65" s="252"/>
      <c r="D65" s="252"/>
      <c r="E65" s="252"/>
      <c r="F65" s="252"/>
      <c r="G65" s="252"/>
      <c r="H65" s="252"/>
      <c r="I65" s="252"/>
      <c r="J65" s="238" t="s">
        <v>208</v>
      </c>
      <c r="K65" s="238"/>
      <c r="L65" s="238"/>
      <c r="M65" s="238"/>
      <c r="N65" s="238"/>
      <c r="O65" s="238"/>
      <c r="P65" s="51"/>
      <c r="Q65" s="51"/>
      <c r="R65" s="51"/>
      <c r="S65" s="51"/>
      <c r="T65" s="74">
        <f t="shared" si="5"/>
        <v>0</v>
      </c>
    </row>
    <row r="66" spans="1:20" ht="10.5" customHeight="1" x14ac:dyDescent="0.2">
      <c r="A66" s="223"/>
      <c r="B66" s="251"/>
      <c r="C66" s="252"/>
      <c r="D66" s="252"/>
      <c r="E66" s="252"/>
      <c r="F66" s="252"/>
      <c r="G66" s="252"/>
      <c r="H66" s="252"/>
      <c r="I66" s="252"/>
      <c r="J66" s="238" t="s">
        <v>209</v>
      </c>
      <c r="K66" s="238"/>
      <c r="L66" s="238"/>
      <c r="M66" s="238"/>
      <c r="N66" s="238"/>
      <c r="O66" s="238"/>
      <c r="P66" s="51"/>
      <c r="Q66" s="51"/>
      <c r="R66" s="51"/>
      <c r="S66" s="51"/>
      <c r="T66" s="74">
        <f t="shared" si="5"/>
        <v>0</v>
      </c>
    </row>
    <row r="67" spans="1:20" ht="13.5" customHeight="1" x14ac:dyDescent="0.2">
      <c r="A67" s="244"/>
      <c r="B67" s="253"/>
      <c r="C67" s="254"/>
      <c r="D67" s="254"/>
      <c r="E67" s="254"/>
      <c r="F67" s="254"/>
      <c r="G67" s="254"/>
      <c r="H67" s="254"/>
      <c r="I67" s="254"/>
      <c r="J67" s="239" t="s">
        <v>210</v>
      </c>
      <c r="K67" s="239"/>
      <c r="L67" s="239"/>
      <c r="M67" s="239"/>
      <c r="N67" s="239"/>
      <c r="O67" s="239"/>
      <c r="P67" s="52"/>
      <c r="Q67" s="52"/>
      <c r="R67" s="52"/>
      <c r="S67" s="52"/>
      <c r="T67" s="74">
        <f t="shared" si="5"/>
        <v>0</v>
      </c>
    </row>
    <row r="68" spans="1:20" ht="21.75" customHeight="1" x14ac:dyDescent="0.2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56"/>
      <c r="M68" s="56"/>
      <c r="N68" s="56"/>
      <c r="O68" s="56"/>
      <c r="P68" s="57"/>
      <c r="Q68" s="55"/>
      <c r="R68" s="55"/>
      <c r="S68" s="71"/>
      <c r="T68" s="114">
        <f>T63+T64+T66+T67</f>
        <v>3</v>
      </c>
    </row>
    <row r="69" spans="1:20" ht="12" customHeight="1" x14ac:dyDescent="0.2">
      <c r="A69" s="243" t="s">
        <v>87</v>
      </c>
      <c r="B69" s="255" t="s">
        <v>90</v>
      </c>
      <c r="C69" s="255"/>
      <c r="D69" s="255"/>
      <c r="E69" s="255"/>
      <c r="F69" s="255"/>
      <c r="G69" s="255"/>
      <c r="H69" s="255"/>
      <c r="I69" s="255"/>
      <c r="J69" s="237" t="s">
        <v>207</v>
      </c>
      <c r="K69" s="237"/>
      <c r="L69" s="237"/>
      <c r="M69" s="237"/>
      <c r="N69" s="237"/>
      <c r="O69" s="237"/>
      <c r="P69" s="50"/>
      <c r="Q69" s="50"/>
      <c r="R69" s="50"/>
      <c r="S69" s="69"/>
      <c r="T69" s="115">
        <f>P69+Q69+R69+S69</f>
        <v>0</v>
      </c>
    </row>
    <row r="70" spans="1:20" ht="12" customHeight="1" x14ac:dyDescent="0.2">
      <c r="A70" s="223"/>
      <c r="B70" s="219"/>
      <c r="C70" s="219"/>
      <c r="D70" s="219"/>
      <c r="E70" s="219"/>
      <c r="F70" s="219"/>
      <c r="G70" s="219"/>
      <c r="H70" s="219"/>
      <c r="I70" s="219"/>
      <c r="J70" s="238" t="s">
        <v>211</v>
      </c>
      <c r="K70" s="238"/>
      <c r="L70" s="238"/>
      <c r="M70" s="238"/>
      <c r="N70" s="238"/>
      <c r="O70" s="238"/>
      <c r="P70" s="16"/>
      <c r="Q70" s="116"/>
      <c r="R70" s="51"/>
      <c r="S70" s="117"/>
      <c r="T70" s="115">
        <f t="shared" ref="T70:T72" si="6">P70+Q70+R70+S70</f>
        <v>0</v>
      </c>
    </row>
    <row r="71" spans="1:20" ht="12" customHeight="1" x14ac:dyDescent="0.2">
      <c r="A71" s="223"/>
      <c r="B71" s="219"/>
      <c r="C71" s="219"/>
      <c r="D71" s="219"/>
      <c r="E71" s="219"/>
      <c r="F71" s="219"/>
      <c r="G71" s="219"/>
      <c r="H71" s="219"/>
      <c r="I71" s="219"/>
      <c r="J71" s="238" t="s">
        <v>203</v>
      </c>
      <c r="K71" s="238"/>
      <c r="L71" s="238"/>
      <c r="M71" s="238"/>
      <c r="N71" s="238"/>
      <c r="O71" s="238"/>
      <c r="P71" s="16"/>
      <c r="Q71" s="116"/>
      <c r="R71" s="51"/>
      <c r="S71" s="117"/>
      <c r="T71" s="115">
        <f t="shared" si="6"/>
        <v>0</v>
      </c>
    </row>
    <row r="72" spans="1:20" ht="12" customHeight="1" x14ac:dyDescent="0.2">
      <c r="A72" s="244"/>
      <c r="B72" s="256"/>
      <c r="C72" s="256"/>
      <c r="D72" s="256"/>
      <c r="E72" s="256"/>
      <c r="F72" s="256"/>
      <c r="G72" s="256"/>
      <c r="H72" s="256"/>
      <c r="I72" s="256"/>
      <c r="J72" s="239" t="s">
        <v>212</v>
      </c>
      <c r="K72" s="239"/>
      <c r="L72" s="239"/>
      <c r="M72" s="239"/>
      <c r="N72" s="239"/>
      <c r="O72" s="239"/>
      <c r="P72" s="96"/>
      <c r="Q72" s="118"/>
      <c r="R72" s="52"/>
      <c r="S72" s="119"/>
      <c r="T72" s="115">
        <f t="shared" si="6"/>
        <v>0</v>
      </c>
    </row>
    <row r="73" spans="1:20" ht="9.75" customHeight="1" x14ac:dyDescent="0.2">
      <c r="A73" s="37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56"/>
      <c r="M73" s="56"/>
      <c r="N73" s="56"/>
      <c r="O73" s="56"/>
      <c r="P73" s="97"/>
      <c r="Q73" s="120"/>
      <c r="R73" s="121"/>
      <c r="S73" s="121"/>
      <c r="T73" s="122">
        <f>T69+T70+T71+T72</f>
        <v>0</v>
      </c>
    </row>
    <row r="74" spans="1:20" ht="21.75" customHeight="1" x14ac:dyDescent="0.2">
      <c r="A74" s="246" t="s">
        <v>213</v>
      </c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8"/>
      <c r="T74" s="123">
        <f>T44+T50+T62+T73</f>
        <v>70</v>
      </c>
    </row>
    <row r="75" spans="1:20" ht="9" customHeight="1" x14ac:dyDescent="0.2">
      <c r="A75" s="364" t="s">
        <v>214</v>
      </c>
      <c r="B75" s="365"/>
      <c r="C75" s="366"/>
      <c r="D75" s="370" t="s">
        <v>14</v>
      </c>
      <c r="E75" s="371"/>
      <c r="F75" s="371"/>
      <c r="G75" s="371"/>
      <c r="H75" s="365"/>
      <c r="I75" s="365"/>
      <c r="J75" s="365"/>
      <c r="K75" s="366"/>
      <c r="L75" s="220" t="s">
        <v>185</v>
      </c>
      <c r="M75" s="220"/>
      <c r="N75" s="226" t="s">
        <v>186</v>
      </c>
      <c r="O75" s="226"/>
      <c r="P75" s="240" t="s">
        <v>187</v>
      </c>
      <c r="Q75" s="240"/>
      <c r="R75" s="241" t="s">
        <v>188</v>
      </c>
      <c r="S75" s="242"/>
      <c r="T75" s="314" t="s">
        <v>215</v>
      </c>
    </row>
    <row r="76" spans="1:20" ht="17.25" customHeight="1" x14ac:dyDescent="0.2">
      <c r="A76" s="367"/>
      <c r="B76" s="368"/>
      <c r="C76" s="369"/>
      <c r="D76" s="372"/>
      <c r="E76" s="368"/>
      <c r="F76" s="368"/>
      <c r="G76" s="368"/>
      <c r="H76" s="368"/>
      <c r="I76" s="368"/>
      <c r="J76" s="368"/>
      <c r="K76" s="369"/>
      <c r="L76" s="47" t="s">
        <v>216</v>
      </c>
      <c r="M76" s="47" t="s">
        <v>217</v>
      </c>
      <c r="N76" s="47" t="s">
        <v>216</v>
      </c>
      <c r="O76" s="47" t="s">
        <v>217</v>
      </c>
      <c r="P76" s="18" t="s">
        <v>216</v>
      </c>
      <c r="Q76" s="18" t="s">
        <v>217</v>
      </c>
      <c r="R76" s="18" t="s">
        <v>216</v>
      </c>
      <c r="S76" s="18" t="s">
        <v>217</v>
      </c>
      <c r="T76" s="315"/>
    </row>
    <row r="77" spans="1:20" ht="11.25" customHeight="1" x14ac:dyDescent="0.2">
      <c r="A77" s="223" t="s">
        <v>71</v>
      </c>
      <c r="B77" s="360" t="s">
        <v>218</v>
      </c>
      <c r="C77" s="361"/>
      <c r="D77" s="209" t="s">
        <v>219</v>
      </c>
      <c r="E77" s="209"/>
      <c r="F77" s="209"/>
      <c r="G77" s="209"/>
      <c r="H77" s="209"/>
      <c r="I77" s="209"/>
      <c r="J77" s="209"/>
      <c r="K77" s="209"/>
      <c r="L77" s="98">
        <v>10</v>
      </c>
      <c r="M77" s="98">
        <v>60</v>
      </c>
      <c r="N77" s="99"/>
      <c r="O77" s="99"/>
      <c r="P77" s="51"/>
      <c r="Q77" s="51"/>
      <c r="R77" s="51"/>
      <c r="S77" s="51"/>
      <c r="T77" s="117">
        <f>L77+M77+N77+O77+P77+Q77+R77+S77</f>
        <v>70</v>
      </c>
    </row>
    <row r="78" spans="1:20" ht="11.25" customHeight="1" x14ac:dyDescent="0.2">
      <c r="A78" s="223"/>
      <c r="B78" s="362"/>
      <c r="C78" s="363"/>
      <c r="D78" s="209" t="s">
        <v>220</v>
      </c>
      <c r="E78" s="209"/>
      <c r="F78" s="209"/>
      <c r="G78" s="209"/>
      <c r="H78" s="209"/>
      <c r="I78" s="209"/>
      <c r="J78" s="209"/>
      <c r="K78" s="209"/>
      <c r="L78" s="98"/>
      <c r="M78" s="98"/>
      <c r="N78" s="99"/>
      <c r="O78" s="99"/>
      <c r="P78" s="51"/>
      <c r="Q78" s="51"/>
      <c r="R78" s="51"/>
      <c r="S78" s="51"/>
      <c r="T78" s="117">
        <f t="shared" ref="T78:T81" si="7">L78+M78+N78+O78+P78+Q78+R78+S78</f>
        <v>0</v>
      </c>
    </row>
    <row r="79" spans="1:20" ht="11.25" customHeight="1" x14ac:dyDescent="0.2">
      <c r="A79" s="223"/>
      <c r="B79" s="362"/>
      <c r="C79" s="363"/>
      <c r="D79" s="209" t="s">
        <v>221</v>
      </c>
      <c r="E79" s="209"/>
      <c r="F79" s="209"/>
      <c r="G79" s="209"/>
      <c r="H79" s="209"/>
      <c r="I79" s="209"/>
      <c r="J79" s="209"/>
      <c r="K79" s="209"/>
      <c r="L79" s="98"/>
      <c r="M79" s="98"/>
      <c r="N79" s="99"/>
      <c r="O79" s="99"/>
      <c r="P79" s="51"/>
      <c r="Q79" s="51"/>
      <c r="R79" s="51"/>
      <c r="S79" s="51"/>
      <c r="T79" s="117">
        <f t="shared" si="7"/>
        <v>0</v>
      </c>
    </row>
    <row r="80" spans="1:20" ht="11.25" customHeight="1" x14ac:dyDescent="0.2">
      <c r="A80" s="223"/>
      <c r="B80" s="362"/>
      <c r="C80" s="363"/>
      <c r="D80" s="209" t="s">
        <v>222</v>
      </c>
      <c r="E80" s="209"/>
      <c r="F80" s="209"/>
      <c r="G80" s="209"/>
      <c r="H80" s="209"/>
      <c r="I80" s="209"/>
      <c r="J80" s="209"/>
      <c r="K80" s="209"/>
      <c r="L80" s="98"/>
      <c r="M80" s="98"/>
      <c r="N80" s="99"/>
      <c r="O80" s="99"/>
      <c r="P80" s="51"/>
      <c r="Q80" s="51"/>
      <c r="R80" s="51"/>
      <c r="S80" s="51"/>
      <c r="T80" s="117">
        <f t="shared" si="7"/>
        <v>0</v>
      </c>
    </row>
    <row r="81" spans="1:20" ht="11.25" customHeight="1" x14ac:dyDescent="0.2">
      <c r="A81" s="223"/>
      <c r="B81" s="362"/>
      <c r="C81" s="363"/>
      <c r="D81" s="219" t="s">
        <v>223</v>
      </c>
      <c r="E81" s="219"/>
      <c r="F81" s="219"/>
      <c r="G81" s="219"/>
      <c r="H81" s="219"/>
      <c r="I81" s="219"/>
      <c r="J81" s="219"/>
      <c r="K81" s="219"/>
      <c r="L81" s="98"/>
      <c r="M81" s="98"/>
      <c r="N81" s="16"/>
      <c r="O81" s="16"/>
      <c r="P81" s="16"/>
      <c r="Q81" s="116"/>
      <c r="R81" s="51"/>
      <c r="S81" s="51"/>
      <c r="T81" s="117">
        <f t="shared" si="7"/>
        <v>0</v>
      </c>
    </row>
    <row r="82" spans="1:20" ht="23.25" customHeight="1" x14ac:dyDescent="0.2">
      <c r="A82" s="76"/>
      <c r="B82" s="77"/>
      <c r="C82" s="78"/>
      <c r="D82" s="40"/>
      <c r="E82" s="41"/>
      <c r="F82" s="41"/>
      <c r="G82" s="41"/>
      <c r="H82" s="41"/>
      <c r="I82" s="41"/>
      <c r="J82" s="41"/>
      <c r="K82" s="41"/>
      <c r="L82" s="41"/>
      <c r="M82" s="100"/>
      <c r="N82" s="97"/>
      <c r="O82" s="97"/>
      <c r="P82" s="97"/>
      <c r="Q82" s="120"/>
      <c r="R82" s="124"/>
      <c r="S82" s="125"/>
      <c r="T82" s="70">
        <f>T77+T78+T79+T80+T81</f>
        <v>70</v>
      </c>
    </row>
    <row r="83" spans="1:20" ht="15" customHeight="1" x14ac:dyDescent="0.2">
      <c r="A83" s="243" t="s">
        <v>79</v>
      </c>
      <c r="B83" s="324" t="s">
        <v>224</v>
      </c>
      <c r="C83" s="325"/>
      <c r="D83" s="298" t="s">
        <v>225</v>
      </c>
      <c r="E83" s="298"/>
      <c r="F83" s="298"/>
      <c r="G83" s="298"/>
      <c r="H83" s="298"/>
      <c r="I83" s="298"/>
      <c r="J83" s="298"/>
      <c r="K83" s="298"/>
      <c r="L83" s="101">
        <v>5</v>
      </c>
      <c r="M83" s="101"/>
      <c r="N83" s="102"/>
      <c r="O83" s="102"/>
      <c r="P83" s="102"/>
      <c r="Q83" s="126"/>
      <c r="R83" s="126"/>
      <c r="S83" s="126"/>
      <c r="T83" s="69">
        <f>L83+M83+N83+O83+P83+Q83+R83+S83</f>
        <v>5</v>
      </c>
    </row>
    <row r="84" spans="1:20" ht="15" customHeight="1" x14ac:dyDescent="0.2">
      <c r="A84" s="223"/>
      <c r="B84" s="331"/>
      <c r="C84" s="331"/>
      <c r="D84" s="209" t="s">
        <v>226</v>
      </c>
      <c r="E84" s="209"/>
      <c r="F84" s="209"/>
      <c r="G84" s="209"/>
      <c r="H84" s="209"/>
      <c r="I84" s="209"/>
      <c r="J84" s="209"/>
      <c r="K84" s="209"/>
      <c r="L84" s="98">
        <v>6</v>
      </c>
      <c r="M84" s="98"/>
      <c r="N84" s="16"/>
      <c r="O84" s="16"/>
      <c r="P84" s="16"/>
      <c r="Q84" s="116"/>
      <c r="R84" s="116"/>
      <c r="S84" s="116"/>
      <c r="T84" s="69">
        <f t="shared" ref="T84:T87" si="8">L84+M84+N84+O84+P84+Q84+R84+S84</f>
        <v>6</v>
      </c>
    </row>
    <row r="85" spans="1:20" ht="15" customHeight="1" x14ac:dyDescent="0.2">
      <c r="A85" s="223"/>
      <c r="B85" s="331"/>
      <c r="C85" s="331"/>
      <c r="D85" s="209" t="s">
        <v>227</v>
      </c>
      <c r="E85" s="209"/>
      <c r="F85" s="209"/>
      <c r="G85" s="209"/>
      <c r="H85" s="209"/>
      <c r="I85" s="209"/>
      <c r="J85" s="209"/>
      <c r="K85" s="209"/>
      <c r="L85" s="98">
        <v>7</v>
      </c>
      <c r="M85" s="98"/>
      <c r="N85" s="16"/>
      <c r="O85" s="16"/>
      <c r="P85" s="16"/>
      <c r="Q85" s="116"/>
      <c r="R85" s="116"/>
      <c r="S85" s="116"/>
      <c r="T85" s="69">
        <f t="shared" si="8"/>
        <v>7</v>
      </c>
    </row>
    <row r="86" spans="1:20" ht="15" customHeight="1" x14ac:dyDescent="0.2">
      <c r="A86" s="223"/>
      <c r="B86" s="331"/>
      <c r="C86" s="331"/>
      <c r="D86" s="209" t="s">
        <v>228</v>
      </c>
      <c r="E86" s="209"/>
      <c r="F86" s="209"/>
      <c r="G86" s="209"/>
      <c r="H86" s="209"/>
      <c r="I86" s="209"/>
      <c r="J86" s="209"/>
      <c r="K86" s="209"/>
      <c r="L86" s="98"/>
      <c r="M86" s="98"/>
      <c r="N86" s="16"/>
      <c r="O86" s="16"/>
      <c r="P86" s="16"/>
      <c r="Q86" s="116"/>
      <c r="R86" s="116"/>
      <c r="S86" s="116"/>
      <c r="T86" s="69">
        <f t="shared" si="8"/>
        <v>0</v>
      </c>
    </row>
    <row r="87" spans="1:20" ht="15" customHeight="1" x14ac:dyDescent="0.2">
      <c r="A87" s="244"/>
      <c r="B87" s="326"/>
      <c r="C87" s="326"/>
      <c r="D87" s="256" t="s">
        <v>229</v>
      </c>
      <c r="E87" s="256"/>
      <c r="F87" s="256"/>
      <c r="G87" s="256"/>
      <c r="H87" s="256"/>
      <c r="I87" s="256"/>
      <c r="J87" s="256"/>
      <c r="K87" s="256"/>
      <c r="L87" s="103"/>
      <c r="M87" s="103"/>
      <c r="N87" s="96"/>
      <c r="O87" s="96"/>
      <c r="P87" s="96"/>
      <c r="Q87" s="118"/>
      <c r="R87" s="118"/>
      <c r="S87" s="118"/>
      <c r="T87" s="69">
        <f t="shared" si="8"/>
        <v>0</v>
      </c>
    </row>
    <row r="88" spans="1:20" ht="19.5" customHeight="1" x14ac:dyDescent="0.2">
      <c r="A88" s="76"/>
      <c r="B88" s="77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97"/>
      <c r="O88" s="97"/>
      <c r="P88" s="97"/>
      <c r="Q88" s="120"/>
      <c r="R88" s="124"/>
      <c r="S88" s="125"/>
      <c r="T88" s="127">
        <f>T83+T84+T85+T86+T87</f>
        <v>18</v>
      </c>
    </row>
    <row r="89" spans="1:20" ht="12" customHeight="1" x14ac:dyDescent="0.2">
      <c r="A89" s="243" t="s">
        <v>81</v>
      </c>
      <c r="B89" s="324" t="s">
        <v>100</v>
      </c>
      <c r="C89" s="324"/>
      <c r="D89" s="298" t="s">
        <v>230</v>
      </c>
      <c r="E89" s="298"/>
      <c r="F89" s="298"/>
      <c r="G89" s="298"/>
      <c r="H89" s="298"/>
      <c r="I89" s="298"/>
      <c r="J89" s="298"/>
      <c r="K89" s="298"/>
      <c r="L89" s="101">
        <v>5</v>
      </c>
      <c r="M89" s="101"/>
      <c r="N89" s="102"/>
      <c r="O89" s="102"/>
      <c r="P89" s="102"/>
      <c r="Q89" s="126"/>
      <c r="R89" s="126"/>
      <c r="S89" s="126"/>
      <c r="T89" s="128">
        <f>L89+M89+N89+O89+P89+Q89+R89+S89</f>
        <v>5</v>
      </c>
    </row>
    <row r="90" spans="1:20" ht="12" customHeight="1" x14ac:dyDescent="0.2">
      <c r="A90" s="223"/>
      <c r="B90" s="224"/>
      <c r="C90" s="224"/>
      <c r="D90" s="209" t="s">
        <v>231</v>
      </c>
      <c r="E90" s="209"/>
      <c r="F90" s="209"/>
      <c r="G90" s="209"/>
      <c r="H90" s="209"/>
      <c r="I90" s="209"/>
      <c r="J90" s="209"/>
      <c r="K90" s="209"/>
      <c r="L90" s="98">
        <v>7</v>
      </c>
      <c r="M90" s="98"/>
      <c r="N90" s="16"/>
      <c r="O90" s="16"/>
      <c r="P90" s="16"/>
      <c r="Q90" s="116"/>
      <c r="R90" s="116"/>
      <c r="S90" s="116"/>
      <c r="T90" s="128">
        <f t="shared" ref="T90:T92" si="9">L90+M90+N90+O90+P90+Q90+R90+S90</f>
        <v>7</v>
      </c>
    </row>
    <row r="91" spans="1:20" ht="12" customHeight="1" x14ac:dyDescent="0.2">
      <c r="A91" s="223"/>
      <c r="B91" s="224"/>
      <c r="C91" s="224"/>
      <c r="D91" s="209" t="s">
        <v>232</v>
      </c>
      <c r="E91" s="209"/>
      <c r="F91" s="209"/>
      <c r="G91" s="209"/>
      <c r="H91" s="209"/>
      <c r="I91" s="209"/>
      <c r="J91" s="209"/>
      <c r="K91" s="209"/>
      <c r="L91" s="98">
        <v>10</v>
      </c>
      <c r="M91" s="98"/>
      <c r="N91" s="16"/>
      <c r="O91" s="16"/>
      <c r="P91" s="16"/>
      <c r="Q91" s="116"/>
      <c r="R91" s="116"/>
      <c r="S91" s="116"/>
      <c r="T91" s="128">
        <f t="shared" si="9"/>
        <v>10</v>
      </c>
    </row>
    <row r="92" spans="1:20" ht="12" customHeight="1" x14ac:dyDescent="0.2">
      <c r="A92" s="244"/>
      <c r="B92" s="359"/>
      <c r="C92" s="359"/>
      <c r="D92" s="286" t="s">
        <v>233</v>
      </c>
      <c r="E92" s="286"/>
      <c r="F92" s="286"/>
      <c r="G92" s="286"/>
      <c r="H92" s="286"/>
      <c r="I92" s="286"/>
      <c r="J92" s="286"/>
      <c r="K92" s="286"/>
      <c r="L92" s="104"/>
      <c r="M92" s="104"/>
      <c r="N92" s="96"/>
      <c r="O92" s="96"/>
      <c r="P92" s="96"/>
      <c r="Q92" s="118"/>
      <c r="R92" s="118"/>
      <c r="S92" s="118"/>
      <c r="T92" s="128">
        <f t="shared" si="9"/>
        <v>0</v>
      </c>
    </row>
    <row r="93" spans="1:20" ht="12" customHeight="1" x14ac:dyDescent="0.2">
      <c r="A93" s="37"/>
      <c r="B93" s="80"/>
      <c r="C93" s="39"/>
      <c r="D93" s="81"/>
      <c r="E93" s="81"/>
      <c r="F93" s="81"/>
      <c r="G93" s="81"/>
      <c r="H93" s="81"/>
      <c r="I93" s="105"/>
      <c r="J93" s="105"/>
      <c r="K93" s="105"/>
      <c r="L93" s="81"/>
      <c r="M93" s="81"/>
      <c r="N93" s="97"/>
      <c r="O93" s="97"/>
      <c r="P93" s="97"/>
      <c r="Q93" s="75"/>
      <c r="R93" s="121"/>
      <c r="S93" s="124"/>
      <c r="T93" s="129">
        <f>T89+T90+T91+T92</f>
        <v>22</v>
      </c>
    </row>
    <row r="94" spans="1:20" ht="12.75" customHeight="1" x14ac:dyDescent="0.2">
      <c r="A94" s="296" t="s">
        <v>87</v>
      </c>
      <c r="B94" s="358" t="s">
        <v>101</v>
      </c>
      <c r="C94" s="358"/>
      <c r="D94" s="298" t="s">
        <v>234</v>
      </c>
      <c r="E94" s="298"/>
      <c r="F94" s="298"/>
      <c r="G94" s="298"/>
      <c r="H94" s="298"/>
      <c r="I94" s="298"/>
      <c r="J94" s="298"/>
      <c r="K94" s="298"/>
      <c r="L94" s="101"/>
      <c r="M94" s="101"/>
      <c r="N94" s="102"/>
      <c r="O94" s="102"/>
      <c r="P94" s="102"/>
      <c r="Q94" s="126"/>
      <c r="R94" s="126"/>
      <c r="S94" s="126"/>
      <c r="T94" s="128">
        <f>L94+M94+N94+O94+P94+Q94+R94+S94</f>
        <v>0</v>
      </c>
    </row>
    <row r="95" spans="1:20" ht="12.75" customHeight="1" x14ac:dyDescent="0.2">
      <c r="A95" s="297"/>
      <c r="B95" s="343"/>
      <c r="C95" s="343"/>
      <c r="D95" s="286"/>
      <c r="E95" s="286"/>
      <c r="F95" s="286"/>
      <c r="G95" s="286"/>
      <c r="H95" s="286"/>
      <c r="I95" s="286"/>
      <c r="J95" s="286"/>
      <c r="K95" s="286"/>
      <c r="L95" s="106"/>
      <c r="M95" s="106"/>
      <c r="N95" s="96"/>
      <c r="O95" s="96"/>
      <c r="P95" s="96"/>
      <c r="Q95" s="118"/>
      <c r="R95" s="118"/>
      <c r="S95" s="118"/>
      <c r="T95" s="130"/>
    </row>
    <row r="96" spans="1:20" ht="0.75" customHeight="1" x14ac:dyDescent="0.2">
      <c r="A96" s="82"/>
      <c r="B96" s="83"/>
      <c r="C96" s="8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97"/>
      <c r="O96" s="97"/>
      <c r="P96" s="97"/>
      <c r="Q96" s="75"/>
      <c r="R96" s="131"/>
      <c r="S96" s="131"/>
      <c r="T96" s="132">
        <f>T94+T95</f>
        <v>0</v>
      </c>
    </row>
    <row r="97" spans="1:20" ht="15.75" customHeight="1" x14ac:dyDescent="0.2">
      <c r="A97" s="85" t="s">
        <v>89</v>
      </c>
      <c r="B97" s="299" t="s">
        <v>102</v>
      </c>
      <c r="C97" s="300"/>
      <c r="D97" s="301" t="s">
        <v>235</v>
      </c>
      <c r="E97" s="301"/>
      <c r="F97" s="301"/>
      <c r="G97" s="301"/>
      <c r="H97" s="301"/>
      <c r="I97" s="301"/>
      <c r="J97" s="301"/>
      <c r="K97" s="301"/>
      <c r="L97" s="107"/>
      <c r="M97" s="107"/>
      <c r="N97" s="108"/>
      <c r="O97" s="108"/>
      <c r="P97" s="108"/>
      <c r="Q97" s="133"/>
      <c r="R97" s="133"/>
      <c r="S97" s="133"/>
      <c r="T97" s="134">
        <f>L97+M97+N97+O97+P97+Q97+R97+S97</f>
        <v>0</v>
      </c>
    </row>
    <row r="98" spans="1:20" ht="12.75" customHeight="1" x14ac:dyDescent="0.2">
      <c r="A98" s="302" t="s">
        <v>236</v>
      </c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89"/>
      <c r="T98" s="134">
        <f>T82+T88+T93+T94+T97</f>
        <v>110</v>
      </c>
    </row>
    <row r="99" spans="1:20" ht="24" customHeight="1" x14ac:dyDescent="0.2">
      <c r="A99" s="304" t="s">
        <v>237</v>
      </c>
      <c r="B99" s="305"/>
      <c r="C99" s="305"/>
      <c r="D99" s="305"/>
      <c r="E99" s="305"/>
      <c r="F99" s="306"/>
      <c r="G99" s="307" t="s">
        <v>184</v>
      </c>
      <c r="H99" s="216"/>
      <c r="I99" s="216"/>
      <c r="J99" s="216"/>
      <c r="K99" s="216"/>
      <c r="L99" s="216"/>
      <c r="M99" s="216"/>
      <c r="N99" s="216"/>
      <c r="O99" s="216"/>
      <c r="P99" s="50" t="s">
        <v>185</v>
      </c>
      <c r="Q99" s="50" t="s">
        <v>186</v>
      </c>
      <c r="R99" s="50" t="s">
        <v>187</v>
      </c>
      <c r="S99" s="50" t="s">
        <v>188</v>
      </c>
      <c r="T99" s="69" t="s">
        <v>165</v>
      </c>
    </row>
    <row r="100" spans="1:20" ht="12" customHeight="1" x14ac:dyDescent="0.2">
      <c r="A100" s="19" t="s">
        <v>238</v>
      </c>
      <c r="B100" s="308" t="s">
        <v>239</v>
      </c>
      <c r="C100" s="257"/>
      <c r="D100" s="257"/>
      <c r="E100" s="257"/>
      <c r="F100" s="257"/>
      <c r="G100" s="257" t="s">
        <v>240</v>
      </c>
      <c r="H100" s="257"/>
      <c r="I100" s="257"/>
      <c r="J100" s="257"/>
      <c r="K100" s="257"/>
      <c r="L100" s="257"/>
      <c r="M100" s="257"/>
      <c r="N100" s="257"/>
      <c r="O100" s="257"/>
      <c r="P100" s="16">
        <v>20</v>
      </c>
      <c r="Q100" s="116">
        <v>20</v>
      </c>
      <c r="R100" s="116"/>
      <c r="S100" s="116"/>
      <c r="T100" s="135">
        <f>P100+Q100+R100+S100</f>
        <v>40</v>
      </c>
    </row>
    <row r="101" spans="1:20" ht="9.75" customHeight="1" x14ac:dyDescent="0.2">
      <c r="A101" s="223" t="s">
        <v>241</v>
      </c>
      <c r="B101" s="262" t="s">
        <v>242</v>
      </c>
      <c r="C101" s="263"/>
      <c r="D101" s="263"/>
      <c r="E101" s="263"/>
      <c r="F101" s="263"/>
      <c r="G101" s="257" t="s">
        <v>243</v>
      </c>
      <c r="H101" s="257"/>
      <c r="I101" s="257"/>
      <c r="J101" s="257"/>
      <c r="K101" s="257"/>
      <c r="L101" s="257"/>
      <c r="M101" s="257"/>
      <c r="N101" s="257"/>
      <c r="O101" s="257"/>
      <c r="P101" s="16">
        <v>20</v>
      </c>
      <c r="Q101" s="116"/>
      <c r="R101" s="116"/>
      <c r="S101" s="116"/>
      <c r="T101" s="135">
        <f t="shared" ref="T101:T103" si="10">P101+Q101+R101+S101</f>
        <v>20</v>
      </c>
    </row>
    <row r="102" spans="1:20" ht="9.75" customHeight="1" x14ac:dyDescent="0.2">
      <c r="A102" s="223"/>
      <c r="B102" s="263"/>
      <c r="C102" s="263"/>
      <c r="D102" s="263"/>
      <c r="E102" s="263"/>
      <c r="F102" s="263"/>
      <c r="G102" s="257" t="s">
        <v>244</v>
      </c>
      <c r="H102" s="257"/>
      <c r="I102" s="257"/>
      <c r="J102" s="257"/>
      <c r="K102" s="257"/>
      <c r="L102" s="257"/>
      <c r="M102" s="257"/>
      <c r="N102" s="257"/>
      <c r="O102" s="257"/>
      <c r="P102" s="16"/>
      <c r="Q102" s="116"/>
      <c r="R102" s="116"/>
      <c r="S102" s="116"/>
      <c r="T102" s="135">
        <f t="shared" si="10"/>
        <v>0</v>
      </c>
    </row>
    <row r="103" spans="1:20" ht="9.75" customHeight="1" x14ac:dyDescent="0.2">
      <c r="A103" s="223"/>
      <c r="B103" s="263"/>
      <c r="C103" s="263"/>
      <c r="D103" s="263"/>
      <c r="E103" s="263"/>
      <c r="F103" s="263"/>
      <c r="G103" s="257" t="s">
        <v>245</v>
      </c>
      <c r="H103" s="257"/>
      <c r="I103" s="257"/>
      <c r="J103" s="257"/>
      <c r="K103" s="257"/>
      <c r="L103" s="257"/>
      <c r="M103" s="257"/>
      <c r="N103" s="257"/>
      <c r="O103" s="257"/>
      <c r="P103" s="16"/>
      <c r="Q103" s="116"/>
      <c r="R103" s="116"/>
      <c r="S103" s="116"/>
      <c r="T103" s="135">
        <f t="shared" si="10"/>
        <v>0</v>
      </c>
    </row>
    <row r="104" spans="1:20" ht="9" customHeight="1" x14ac:dyDescent="0.2">
      <c r="A104" s="19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23"/>
      <c r="M104" s="23"/>
      <c r="N104" s="23"/>
      <c r="O104" s="23"/>
      <c r="P104" s="16"/>
      <c r="Q104" s="116"/>
      <c r="R104" s="136"/>
      <c r="S104" s="136"/>
      <c r="T104" s="137">
        <f>T100+T101+T102+T103</f>
        <v>60</v>
      </c>
    </row>
    <row r="105" spans="1:20" ht="9.75" customHeight="1" x14ac:dyDescent="0.2">
      <c r="A105" s="223" t="s">
        <v>246</v>
      </c>
      <c r="B105" s="262" t="s">
        <v>247</v>
      </c>
      <c r="C105" s="263"/>
      <c r="D105" s="263"/>
      <c r="E105" s="263"/>
      <c r="F105" s="263"/>
      <c r="G105" s="238" t="s">
        <v>248</v>
      </c>
      <c r="H105" s="238"/>
      <c r="I105" s="238"/>
      <c r="J105" s="238"/>
      <c r="K105" s="238"/>
      <c r="L105" s="238"/>
      <c r="M105" s="238"/>
      <c r="N105" s="238"/>
      <c r="O105" s="238"/>
      <c r="P105" s="16">
        <v>10</v>
      </c>
      <c r="Q105" s="116"/>
      <c r="R105" s="116"/>
      <c r="S105" s="116"/>
      <c r="T105" s="135">
        <f>P105+Q105+R105+S105</f>
        <v>10</v>
      </c>
    </row>
    <row r="106" spans="1:20" ht="9.75" customHeight="1" x14ac:dyDescent="0.2">
      <c r="A106" s="223"/>
      <c r="B106" s="263"/>
      <c r="C106" s="263"/>
      <c r="D106" s="263"/>
      <c r="E106" s="263"/>
      <c r="F106" s="263"/>
      <c r="G106" s="238" t="s">
        <v>249</v>
      </c>
      <c r="H106" s="238"/>
      <c r="I106" s="238"/>
      <c r="J106" s="238"/>
      <c r="K106" s="238"/>
      <c r="L106" s="238"/>
      <c r="M106" s="238"/>
      <c r="N106" s="238"/>
      <c r="O106" s="238"/>
      <c r="P106" s="16"/>
      <c r="Q106" s="116"/>
      <c r="R106" s="116"/>
      <c r="S106" s="116"/>
      <c r="T106" s="135">
        <f t="shared" ref="T106:T112" si="11">P106+Q106+R106+S106</f>
        <v>0</v>
      </c>
    </row>
    <row r="107" spans="1:20" ht="9.75" customHeight="1" x14ac:dyDescent="0.2">
      <c r="A107" s="223"/>
      <c r="B107" s="263"/>
      <c r="C107" s="263"/>
      <c r="D107" s="263"/>
      <c r="E107" s="263"/>
      <c r="F107" s="263"/>
      <c r="G107" s="238" t="s">
        <v>250</v>
      </c>
      <c r="H107" s="238"/>
      <c r="I107" s="238"/>
      <c r="J107" s="238"/>
      <c r="K107" s="238"/>
      <c r="L107" s="238"/>
      <c r="M107" s="238"/>
      <c r="N107" s="238"/>
      <c r="O107" s="238"/>
      <c r="P107" s="16"/>
      <c r="Q107" s="116"/>
      <c r="R107" s="116"/>
      <c r="S107" s="116"/>
      <c r="T107" s="135">
        <f t="shared" si="11"/>
        <v>0</v>
      </c>
    </row>
    <row r="108" spans="1:20" ht="9.75" customHeight="1" x14ac:dyDescent="0.2">
      <c r="A108" s="223"/>
      <c r="B108" s="263"/>
      <c r="C108" s="263"/>
      <c r="D108" s="263"/>
      <c r="E108" s="263"/>
      <c r="F108" s="263"/>
      <c r="G108" s="238" t="s">
        <v>251</v>
      </c>
      <c r="H108" s="238"/>
      <c r="I108" s="238"/>
      <c r="J108" s="238"/>
      <c r="K108" s="238"/>
      <c r="L108" s="238"/>
      <c r="M108" s="238"/>
      <c r="N108" s="238"/>
      <c r="O108" s="238"/>
      <c r="P108" s="16"/>
      <c r="Q108" s="116"/>
      <c r="R108" s="116"/>
      <c r="S108" s="116"/>
      <c r="T108" s="135">
        <f t="shared" si="11"/>
        <v>0</v>
      </c>
    </row>
    <row r="109" spans="1:20" ht="9.75" customHeight="1" x14ac:dyDescent="0.2">
      <c r="A109" s="223"/>
      <c r="B109" s="263"/>
      <c r="C109" s="263"/>
      <c r="D109" s="263"/>
      <c r="E109" s="263"/>
      <c r="F109" s="263"/>
      <c r="G109" s="238" t="s">
        <v>252</v>
      </c>
      <c r="H109" s="238"/>
      <c r="I109" s="238"/>
      <c r="J109" s="238"/>
      <c r="K109" s="238"/>
      <c r="L109" s="238"/>
      <c r="M109" s="238"/>
      <c r="N109" s="238"/>
      <c r="O109" s="238"/>
      <c r="P109" s="16"/>
      <c r="Q109" s="116"/>
      <c r="R109" s="116"/>
      <c r="S109" s="116"/>
      <c r="T109" s="135">
        <f t="shared" si="11"/>
        <v>0</v>
      </c>
    </row>
    <row r="110" spans="1:20" ht="9.75" customHeight="1" x14ac:dyDescent="0.2">
      <c r="A110" s="223"/>
      <c r="B110" s="263"/>
      <c r="C110" s="263"/>
      <c r="D110" s="263"/>
      <c r="E110" s="263"/>
      <c r="F110" s="263"/>
      <c r="G110" s="257" t="s">
        <v>253</v>
      </c>
      <c r="H110" s="257"/>
      <c r="I110" s="257"/>
      <c r="J110" s="257"/>
      <c r="K110" s="257"/>
      <c r="L110" s="257"/>
      <c r="M110" s="257"/>
      <c r="N110" s="257"/>
      <c r="O110" s="257"/>
      <c r="P110" s="16"/>
      <c r="Q110" s="116"/>
      <c r="R110" s="116"/>
      <c r="S110" s="116"/>
      <c r="T110" s="135">
        <f t="shared" si="11"/>
        <v>0</v>
      </c>
    </row>
    <row r="111" spans="1:20" ht="9.75" customHeight="1" x14ac:dyDescent="0.2">
      <c r="A111" s="223"/>
      <c r="B111" s="263"/>
      <c r="C111" s="263"/>
      <c r="D111" s="263"/>
      <c r="E111" s="263"/>
      <c r="F111" s="263"/>
      <c r="G111" s="257" t="s">
        <v>254</v>
      </c>
      <c r="H111" s="257"/>
      <c r="I111" s="257"/>
      <c r="J111" s="257"/>
      <c r="K111" s="257"/>
      <c r="L111" s="257"/>
      <c r="M111" s="257"/>
      <c r="N111" s="257"/>
      <c r="O111" s="257"/>
      <c r="P111" s="16"/>
      <c r="Q111" s="116"/>
      <c r="R111" s="116"/>
      <c r="S111" s="116"/>
      <c r="T111" s="135">
        <f t="shared" si="11"/>
        <v>0</v>
      </c>
    </row>
    <row r="112" spans="1:20" ht="9.75" customHeight="1" x14ac:dyDescent="0.2">
      <c r="A112" s="223"/>
      <c r="B112" s="263"/>
      <c r="C112" s="263"/>
      <c r="D112" s="263"/>
      <c r="E112" s="263"/>
      <c r="F112" s="263"/>
      <c r="G112" s="257" t="s">
        <v>255</v>
      </c>
      <c r="H112" s="257"/>
      <c r="I112" s="257"/>
      <c r="J112" s="257"/>
      <c r="K112" s="257"/>
      <c r="L112" s="257"/>
      <c r="M112" s="257"/>
      <c r="N112" s="257"/>
      <c r="O112" s="257"/>
      <c r="P112" s="16"/>
      <c r="Q112" s="116"/>
      <c r="R112" s="116"/>
      <c r="S112" s="116"/>
      <c r="T112" s="135">
        <f t="shared" si="11"/>
        <v>0</v>
      </c>
    </row>
    <row r="113" spans="1:20" ht="12" customHeight="1" x14ac:dyDescent="0.2">
      <c r="A113" s="19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23"/>
      <c r="M113" s="23"/>
      <c r="N113" s="23"/>
      <c r="O113" s="23"/>
      <c r="P113" s="16"/>
      <c r="Q113" s="116"/>
      <c r="R113" s="136"/>
      <c r="S113" s="136"/>
      <c r="T113" s="138">
        <f>T105+T106+T107+T108+T109+T110+T111+T112</f>
        <v>10</v>
      </c>
    </row>
    <row r="114" spans="1:20" ht="15" customHeight="1" x14ac:dyDescent="0.2">
      <c r="A114" s="223" t="s">
        <v>256</v>
      </c>
      <c r="B114" s="332" t="s">
        <v>257</v>
      </c>
      <c r="C114" s="332"/>
      <c r="D114" s="332"/>
      <c r="E114" s="332"/>
      <c r="F114" s="332"/>
      <c r="G114" s="238" t="s">
        <v>258</v>
      </c>
      <c r="H114" s="238"/>
      <c r="I114" s="238"/>
      <c r="J114" s="238"/>
      <c r="K114" s="238"/>
      <c r="L114" s="238"/>
      <c r="M114" s="238"/>
      <c r="N114" s="238"/>
      <c r="O114" s="238"/>
      <c r="P114" s="16">
        <v>300</v>
      </c>
      <c r="Q114" s="116"/>
      <c r="R114" s="116"/>
      <c r="S114" s="116"/>
      <c r="T114" s="135">
        <f>P114+Q114+R114+S114</f>
        <v>300</v>
      </c>
    </row>
    <row r="115" spans="1:20" ht="15" customHeight="1" x14ac:dyDescent="0.2">
      <c r="A115" s="244"/>
      <c r="B115" s="332"/>
      <c r="C115" s="332"/>
      <c r="D115" s="332"/>
      <c r="E115" s="332"/>
      <c r="F115" s="332"/>
      <c r="G115" s="238" t="s">
        <v>259</v>
      </c>
      <c r="H115" s="238"/>
      <c r="I115" s="238"/>
      <c r="J115" s="238"/>
      <c r="K115" s="238"/>
      <c r="L115" s="238"/>
      <c r="M115" s="238"/>
      <c r="N115" s="238"/>
      <c r="O115" s="238"/>
      <c r="P115" s="16"/>
      <c r="Q115" s="116"/>
      <c r="R115" s="116"/>
      <c r="S115" s="116"/>
      <c r="T115" s="139">
        <f>P115+Q115+R115+S116</f>
        <v>0</v>
      </c>
    </row>
    <row r="116" spans="1:20" ht="12" customHeight="1" x14ac:dyDescent="0.2">
      <c r="A116" s="87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109"/>
      <c r="M116" s="109"/>
      <c r="N116" s="109"/>
      <c r="O116" s="109"/>
      <c r="P116" s="110"/>
      <c r="Q116" s="140"/>
      <c r="R116" s="141"/>
      <c r="S116" s="142"/>
      <c r="T116" s="143">
        <f>T114+T115</f>
        <v>300</v>
      </c>
    </row>
    <row r="117" spans="1:20" ht="22.5" customHeight="1" x14ac:dyDescent="0.2">
      <c r="A117" s="258" t="s">
        <v>260</v>
      </c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60"/>
      <c r="T117" s="144">
        <f>T104+T113+T116</f>
        <v>370</v>
      </c>
    </row>
    <row r="118" spans="1:20" ht="15.75" customHeight="1" x14ac:dyDescent="0.2">
      <c r="A118" s="333" t="s">
        <v>261</v>
      </c>
      <c r="B118" s="261"/>
      <c r="C118" s="261"/>
      <c r="D118" s="261" t="s">
        <v>14</v>
      </c>
      <c r="E118" s="261"/>
      <c r="F118" s="261"/>
      <c r="G118" s="261"/>
      <c r="H118" s="261"/>
      <c r="I118" s="261"/>
      <c r="J118" s="261"/>
      <c r="K118" s="261"/>
      <c r="L118" s="261" t="s">
        <v>185</v>
      </c>
      <c r="M118" s="261"/>
      <c r="N118" s="226" t="s">
        <v>186</v>
      </c>
      <c r="O118" s="226"/>
      <c r="P118" s="240" t="s">
        <v>187</v>
      </c>
      <c r="Q118" s="240"/>
      <c r="R118" s="240" t="s">
        <v>188</v>
      </c>
      <c r="S118" s="240"/>
      <c r="T118" s="316" t="s">
        <v>165</v>
      </c>
    </row>
    <row r="119" spans="1:20" ht="18.75" customHeight="1" x14ac:dyDescent="0.2">
      <c r="A119" s="334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99" t="s">
        <v>216</v>
      </c>
      <c r="M119" s="99" t="s">
        <v>217</v>
      </c>
      <c r="N119" s="99" t="s">
        <v>216</v>
      </c>
      <c r="O119" s="99" t="s">
        <v>217</v>
      </c>
      <c r="P119" s="99" t="s">
        <v>216</v>
      </c>
      <c r="Q119" s="99" t="s">
        <v>217</v>
      </c>
      <c r="R119" s="99" t="s">
        <v>216</v>
      </c>
      <c r="S119" s="99" t="s">
        <v>217</v>
      </c>
      <c r="T119" s="315"/>
    </row>
    <row r="120" spans="1:20" ht="40.5" customHeight="1" x14ac:dyDescent="0.2">
      <c r="A120" s="19" t="s">
        <v>238</v>
      </c>
      <c r="B120" s="270" t="s">
        <v>262</v>
      </c>
      <c r="C120" s="271"/>
      <c r="D120" s="272" t="s">
        <v>263</v>
      </c>
      <c r="E120" s="262"/>
      <c r="F120" s="262"/>
      <c r="G120" s="262"/>
      <c r="H120" s="262"/>
      <c r="I120" s="262"/>
      <c r="J120" s="262"/>
      <c r="K120" s="262"/>
      <c r="L120" s="111">
        <v>20</v>
      </c>
      <c r="M120" s="111"/>
      <c r="N120" s="111"/>
      <c r="O120" s="111"/>
      <c r="P120" s="111"/>
      <c r="Q120" s="116"/>
      <c r="R120" s="116"/>
      <c r="S120" s="116"/>
      <c r="T120" s="135">
        <f>L120+M120+N120+O120+P120+Q120+R120+S120</f>
        <v>20</v>
      </c>
    </row>
    <row r="121" spans="1:20" ht="15.75" customHeight="1" x14ac:dyDescent="0.2">
      <c r="A121" s="273" t="s">
        <v>264</v>
      </c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89"/>
      <c r="T121" s="135">
        <f>L120+M120+N120+O120+P120+Q120+R120+S120</f>
        <v>20</v>
      </c>
    </row>
    <row r="122" spans="1:20" ht="17.25" customHeight="1" x14ac:dyDescent="0.2">
      <c r="A122" s="90" t="s">
        <v>265</v>
      </c>
      <c r="B122" s="91"/>
      <c r="C122" s="92"/>
      <c r="D122" s="93"/>
      <c r="E122" s="275" t="s">
        <v>184</v>
      </c>
      <c r="F122" s="276"/>
      <c r="G122" s="276"/>
      <c r="H122" s="276"/>
      <c r="I122" s="276"/>
      <c r="J122" s="276"/>
      <c r="K122" s="276"/>
      <c r="L122" s="276"/>
      <c r="M122" s="276"/>
      <c r="N122" s="276"/>
      <c r="O122" s="277"/>
      <c r="P122" s="49" t="s">
        <v>185</v>
      </c>
      <c r="Q122" s="49" t="s">
        <v>186</v>
      </c>
      <c r="R122" s="49" t="s">
        <v>187</v>
      </c>
      <c r="S122" s="49" t="s">
        <v>188</v>
      </c>
      <c r="T122" s="68" t="s">
        <v>165</v>
      </c>
    </row>
    <row r="123" spans="1:20" ht="12.75" customHeight="1" x14ac:dyDescent="0.2">
      <c r="A123" s="282" t="s">
        <v>71</v>
      </c>
      <c r="B123" s="329" t="s">
        <v>266</v>
      </c>
      <c r="C123" s="330"/>
      <c r="D123" s="330"/>
      <c r="E123" s="278" t="s">
        <v>219</v>
      </c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112"/>
      <c r="Q123" s="145"/>
      <c r="R123" s="145"/>
      <c r="S123" s="145"/>
      <c r="T123" s="146"/>
    </row>
    <row r="124" spans="1:20" ht="12.75" customHeight="1" x14ac:dyDescent="0.2">
      <c r="A124" s="223"/>
      <c r="B124" s="331"/>
      <c r="C124" s="331"/>
      <c r="D124" s="331"/>
      <c r="E124" s="209" t="s">
        <v>267</v>
      </c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98"/>
      <c r="Q124" s="51"/>
      <c r="R124" s="51"/>
      <c r="S124" s="51"/>
      <c r="T124" s="74"/>
    </row>
    <row r="125" spans="1:20" ht="12.75" customHeight="1" x14ac:dyDescent="0.2">
      <c r="A125" s="223"/>
      <c r="B125" s="331"/>
      <c r="C125" s="331"/>
      <c r="D125" s="331"/>
      <c r="E125" s="209" t="s">
        <v>268</v>
      </c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98"/>
      <c r="Q125" s="51"/>
      <c r="R125" s="51"/>
      <c r="S125" s="51"/>
      <c r="T125" s="74"/>
    </row>
    <row r="126" spans="1:20" ht="21" customHeight="1" x14ac:dyDescent="0.2">
      <c r="A126" s="223"/>
      <c r="B126" s="331"/>
      <c r="C126" s="331"/>
      <c r="D126" s="331"/>
      <c r="E126" s="209" t="s">
        <v>269</v>
      </c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98"/>
      <c r="Q126" s="51"/>
      <c r="R126" s="51"/>
      <c r="S126" s="51"/>
      <c r="T126" s="74"/>
    </row>
    <row r="127" spans="1:20" ht="17.25" customHeight="1" x14ac:dyDescent="0.2">
      <c r="A127" s="76"/>
      <c r="B127" s="94"/>
      <c r="C127" s="94"/>
      <c r="D127" s="94"/>
      <c r="E127" s="81"/>
      <c r="F127" s="81"/>
      <c r="G127" s="81"/>
      <c r="H127" s="81"/>
      <c r="I127" s="81"/>
      <c r="J127" s="81"/>
      <c r="K127" s="81"/>
      <c r="L127" s="113"/>
      <c r="M127" s="113"/>
      <c r="N127" s="113"/>
      <c r="O127" s="113"/>
      <c r="P127" s="97">
        <f>P123+P124+P125+P126</f>
        <v>0</v>
      </c>
      <c r="Q127" s="97">
        <f>Q123+Q124+Q125+Q126</f>
        <v>0</v>
      </c>
      <c r="R127" s="97">
        <f>R123+R124+R125+R126</f>
        <v>0</v>
      </c>
      <c r="S127" s="97">
        <f>S123+S124+S125+S126</f>
        <v>0</v>
      </c>
      <c r="T127" s="147">
        <f>P127+Q127+R127+S127</f>
        <v>0</v>
      </c>
    </row>
    <row r="128" spans="1:20" ht="27.75" customHeight="1" x14ac:dyDescent="0.2">
      <c r="A128" s="95"/>
      <c r="B128" s="279" t="s">
        <v>270</v>
      </c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1"/>
      <c r="Q128" s="281"/>
      <c r="R128" s="281"/>
      <c r="S128" s="148"/>
      <c r="T128" s="147">
        <f>P127:T127</f>
        <v>0</v>
      </c>
    </row>
    <row r="129" spans="1:20" ht="51.75" customHeight="1" x14ac:dyDescent="0.2">
      <c r="A129" s="283" t="s">
        <v>271</v>
      </c>
      <c r="B129" s="284"/>
      <c r="C129" s="284"/>
      <c r="D129" s="284"/>
      <c r="E129" s="264" t="s">
        <v>272</v>
      </c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151"/>
      <c r="Q129" s="151"/>
      <c r="R129" s="151"/>
      <c r="S129" s="151"/>
      <c r="T129" s="154">
        <f>P129+Q129+R129+S129</f>
        <v>0</v>
      </c>
    </row>
    <row r="130" spans="1:20" ht="22.5" customHeight="1" x14ac:dyDescent="0.2">
      <c r="A130" s="265" t="s">
        <v>273</v>
      </c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155">
        <f>T74+T98+T117+T121+T128</f>
        <v>570</v>
      </c>
    </row>
    <row r="131" spans="1:20" ht="23.25" customHeight="1" x14ac:dyDescent="0.2">
      <c r="A131" s="267" t="s">
        <v>274</v>
      </c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3"/>
      <c r="T131" s="156"/>
    </row>
    <row r="132" spans="1:20" ht="32.25" customHeight="1" x14ac:dyDescent="0.2">
      <c r="A132" s="327" t="s">
        <v>275</v>
      </c>
      <c r="B132" s="220"/>
      <c r="C132" s="220"/>
      <c r="D132" s="220" t="s">
        <v>184</v>
      </c>
      <c r="E132" s="220"/>
      <c r="F132" s="220"/>
      <c r="G132" s="220"/>
      <c r="H132" s="220"/>
      <c r="I132" s="220"/>
      <c r="J132" s="220"/>
      <c r="K132" s="220"/>
      <c r="L132" s="220" t="s">
        <v>185</v>
      </c>
      <c r="M132" s="220"/>
      <c r="N132" s="226" t="s">
        <v>186</v>
      </c>
      <c r="O132" s="226"/>
      <c r="P132" s="240" t="s">
        <v>187</v>
      </c>
      <c r="Q132" s="240"/>
      <c r="R132" s="240" t="s">
        <v>188</v>
      </c>
      <c r="S132" s="240"/>
      <c r="T132" s="316" t="s">
        <v>165</v>
      </c>
    </row>
    <row r="133" spans="1:20" ht="23.25" customHeight="1" x14ac:dyDescent="0.2">
      <c r="A133" s="328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152" t="s">
        <v>216</v>
      </c>
      <c r="M133" s="152" t="s">
        <v>217</v>
      </c>
      <c r="N133" s="152" t="s">
        <v>216</v>
      </c>
      <c r="O133" s="152" t="s">
        <v>217</v>
      </c>
      <c r="P133" s="152" t="s">
        <v>216</v>
      </c>
      <c r="Q133" s="152" t="s">
        <v>217</v>
      </c>
      <c r="R133" s="152" t="s">
        <v>216</v>
      </c>
      <c r="S133" s="152" t="s">
        <v>217</v>
      </c>
      <c r="T133" s="317"/>
    </row>
    <row r="134" spans="1:20" ht="18.75" customHeight="1" x14ac:dyDescent="0.2">
      <c r="A134" s="243" t="s">
        <v>276</v>
      </c>
      <c r="B134" s="324" t="s">
        <v>277</v>
      </c>
      <c r="C134" s="325"/>
      <c r="D134" s="269" t="s">
        <v>240</v>
      </c>
      <c r="E134" s="269"/>
      <c r="F134" s="269"/>
      <c r="G134" s="269"/>
      <c r="H134" s="269"/>
      <c r="I134" s="269"/>
      <c r="J134" s="269"/>
      <c r="K134" s="269"/>
      <c r="L134" s="102"/>
      <c r="M134" s="102"/>
      <c r="N134" s="102"/>
      <c r="O134" s="102"/>
      <c r="P134" s="102"/>
      <c r="Q134" s="126"/>
      <c r="R134" s="126"/>
      <c r="S134" s="126"/>
      <c r="T134" s="128">
        <f>L134+M134+N134+O134+P134+Q134+R134+S134</f>
        <v>0</v>
      </c>
    </row>
    <row r="135" spans="1:20" ht="18.75" customHeight="1" x14ac:dyDescent="0.2">
      <c r="A135" s="244"/>
      <c r="B135" s="326"/>
      <c r="C135" s="326"/>
      <c r="D135" s="286" t="s">
        <v>278</v>
      </c>
      <c r="E135" s="286"/>
      <c r="F135" s="286"/>
      <c r="G135" s="286"/>
      <c r="H135" s="286"/>
      <c r="I135" s="286"/>
      <c r="J135" s="286"/>
      <c r="K135" s="286"/>
      <c r="L135" s="104"/>
      <c r="M135" s="104"/>
      <c r="N135" s="96"/>
      <c r="O135" s="96"/>
      <c r="P135" s="96"/>
      <c r="Q135" s="118"/>
      <c r="R135" s="118"/>
      <c r="S135" s="118"/>
      <c r="T135" s="128">
        <f>L135+M135+N135+O135+P135+Q135+R135+S135</f>
        <v>0</v>
      </c>
    </row>
    <row r="136" spans="1:20" ht="4.5" customHeight="1" x14ac:dyDescent="0.2">
      <c r="A136" s="76"/>
      <c r="B136" s="94"/>
      <c r="C136" s="94"/>
      <c r="D136" s="81"/>
      <c r="E136" s="81"/>
      <c r="F136" s="81"/>
      <c r="G136" s="81"/>
      <c r="H136" s="81"/>
      <c r="I136" s="81"/>
      <c r="J136" s="81"/>
      <c r="K136" s="81"/>
      <c r="L136" s="153"/>
      <c r="M136" s="153"/>
      <c r="N136" s="97"/>
      <c r="O136" s="97"/>
      <c r="P136" s="97"/>
      <c r="Q136" s="120"/>
      <c r="R136" s="120"/>
      <c r="S136" s="120"/>
      <c r="T136" s="157">
        <f>T134+T135</f>
        <v>0</v>
      </c>
    </row>
    <row r="137" spans="1:20" ht="4.5" customHeight="1" x14ac:dyDescent="0.2">
      <c r="A137" s="87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110"/>
      <c r="M137" s="110"/>
      <c r="N137" s="110"/>
      <c r="O137" s="110"/>
      <c r="P137" s="110"/>
      <c r="Q137" s="140"/>
      <c r="R137" s="140"/>
      <c r="S137" s="140"/>
      <c r="T137" s="158" t="e">
        <f>#REF!+#REF!+#REF!</f>
        <v>#REF!</v>
      </c>
    </row>
    <row r="138" spans="1:20" ht="22.5" customHeight="1" x14ac:dyDescent="0.2">
      <c r="A138" s="258" t="s">
        <v>279</v>
      </c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87"/>
      <c r="T138" s="159">
        <f>T136</f>
        <v>0</v>
      </c>
    </row>
    <row r="139" spans="1:20" ht="20.25" customHeight="1" x14ac:dyDescent="0.2">
      <c r="A139" s="288" t="s">
        <v>280</v>
      </c>
      <c r="B139" s="289"/>
      <c r="C139" s="289"/>
      <c r="D139" s="289"/>
      <c r="E139" s="289"/>
      <c r="F139" s="289"/>
      <c r="G139" s="289" t="s">
        <v>184</v>
      </c>
      <c r="H139" s="289"/>
      <c r="I139" s="289"/>
      <c r="J139" s="289"/>
      <c r="K139" s="289"/>
      <c r="L139" s="289"/>
      <c r="M139" s="289"/>
      <c r="N139" s="289"/>
      <c r="O139" s="289"/>
      <c r="P139" s="50" t="s">
        <v>185</v>
      </c>
      <c r="Q139" s="50" t="s">
        <v>186</v>
      </c>
      <c r="R139" s="50" t="s">
        <v>187</v>
      </c>
      <c r="S139" s="50" t="s">
        <v>188</v>
      </c>
      <c r="T139" s="69" t="s">
        <v>165</v>
      </c>
    </row>
    <row r="140" spans="1:20" x14ac:dyDescent="0.2">
      <c r="A140" s="19" t="s">
        <v>276</v>
      </c>
      <c r="B140" s="290" t="s">
        <v>126</v>
      </c>
      <c r="C140" s="290"/>
      <c r="D140" s="290"/>
      <c r="E140" s="290"/>
      <c r="F140" s="290"/>
      <c r="G140" s="257" t="s">
        <v>281</v>
      </c>
      <c r="H140" s="257"/>
      <c r="I140" s="257"/>
      <c r="J140" s="257"/>
      <c r="K140" s="257"/>
      <c r="L140" s="257"/>
      <c r="M140" s="257"/>
      <c r="N140" s="257"/>
      <c r="O140" s="257"/>
      <c r="P140" s="16"/>
      <c r="Q140" s="116"/>
      <c r="R140" s="116"/>
      <c r="S140" s="116"/>
      <c r="T140" s="128">
        <f>P140+Q140+R140+S140</f>
        <v>0</v>
      </c>
    </row>
    <row r="141" spans="1:20" ht="25.5" customHeight="1" x14ac:dyDescent="0.2">
      <c r="A141" s="19" t="s">
        <v>282</v>
      </c>
      <c r="B141" s="291" t="s">
        <v>129</v>
      </c>
      <c r="C141" s="291"/>
      <c r="D141" s="291"/>
      <c r="E141" s="291"/>
      <c r="F141" s="291"/>
      <c r="G141" s="209" t="s">
        <v>281</v>
      </c>
      <c r="H141" s="209"/>
      <c r="I141" s="209"/>
      <c r="J141" s="209"/>
      <c r="K141" s="209"/>
      <c r="L141" s="209"/>
      <c r="M141" s="209"/>
      <c r="N141" s="209"/>
      <c r="O141" s="209"/>
      <c r="P141" s="16"/>
      <c r="Q141" s="116"/>
      <c r="R141" s="116"/>
      <c r="S141" s="116"/>
      <c r="T141" s="160">
        <f>P141+Q141+R141+S141</f>
        <v>0</v>
      </c>
    </row>
    <row r="142" spans="1:20" ht="25.5" customHeight="1" x14ac:dyDescent="0.2">
      <c r="A142" s="19" t="s">
        <v>283</v>
      </c>
      <c r="B142" s="224" t="s">
        <v>131</v>
      </c>
      <c r="C142" s="224"/>
      <c r="D142" s="224"/>
      <c r="E142" s="224"/>
      <c r="F142" s="224"/>
      <c r="G142" s="209" t="s">
        <v>281</v>
      </c>
      <c r="H142" s="209"/>
      <c r="I142" s="209"/>
      <c r="J142" s="209"/>
      <c r="K142" s="209"/>
      <c r="L142" s="209"/>
      <c r="M142" s="209"/>
      <c r="N142" s="209"/>
      <c r="O142" s="209"/>
      <c r="P142" s="16"/>
      <c r="Q142" s="116"/>
      <c r="R142" s="116"/>
      <c r="S142" s="116"/>
      <c r="T142" s="160">
        <f>P142+Q142+R142+S142</f>
        <v>0</v>
      </c>
    </row>
    <row r="143" spans="1:20" ht="25.5" customHeight="1" x14ac:dyDescent="0.2">
      <c r="A143" s="19" t="s">
        <v>284</v>
      </c>
      <c r="B143" s="224" t="s">
        <v>133</v>
      </c>
      <c r="C143" s="224"/>
      <c r="D143" s="224"/>
      <c r="E143" s="224"/>
      <c r="F143" s="224"/>
      <c r="G143" s="209" t="s">
        <v>281</v>
      </c>
      <c r="H143" s="209"/>
      <c r="I143" s="209"/>
      <c r="J143" s="209"/>
      <c r="K143" s="209"/>
      <c r="L143" s="209"/>
      <c r="M143" s="209"/>
      <c r="N143" s="209"/>
      <c r="O143" s="209"/>
      <c r="P143" s="16"/>
      <c r="Q143" s="116"/>
      <c r="R143" s="116"/>
      <c r="S143" s="116"/>
      <c r="T143" s="160">
        <f t="shared" ref="T143:T148" si="12">P143+Q143+R143+S143</f>
        <v>0</v>
      </c>
    </row>
    <row r="144" spans="1:20" ht="25.5" customHeight="1" x14ac:dyDescent="0.2">
      <c r="A144" s="19" t="s">
        <v>285</v>
      </c>
      <c r="B144" s="291" t="s">
        <v>135</v>
      </c>
      <c r="C144" s="291"/>
      <c r="D144" s="291"/>
      <c r="E144" s="291"/>
      <c r="F144" s="291"/>
      <c r="G144" s="209" t="s">
        <v>281</v>
      </c>
      <c r="H144" s="209"/>
      <c r="I144" s="209"/>
      <c r="J144" s="209"/>
      <c r="K144" s="209"/>
      <c r="L144" s="209"/>
      <c r="M144" s="209"/>
      <c r="N144" s="209"/>
      <c r="O144" s="209"/>
      <c r="P144" s="16"/>
      <c r="Q144" s="116"/>
      <c r="R144" s="116"/>
      <c r="S144" s="116"/>
      <c r="T144" s="160">
        <f t="shared" si="12"/>
        <v>0</v>
      </c>
    </row>
    <row r="145" spans="1:20" ht="15" customHeight="1" x14ac:dyDescent="0.2">
      <c r="A145" s="223" t="s">
        <v>286</v>
      </c>
      <c r="B145" s="224" t="s">
        <v>287</v>
      </c>
      <c r="C145" s="224"/>
      <c r="D145" s="224"/>
      <c r="E145" s="224"/>
      <c r="F145" s="224"/>
      <c r="G145" s="257" t="s">
        <v>288</v>
      </c>
      <c r="H145" s="257"/>
      <c r="I145" s="257"/>
      <c r="J145" s="257"/>
      <c r="K145" s="257"/>
      <c r="L145" s="257"/>
      <c r="M145" s="257"/>
      <c r="N145" s="257"/>
      <c r="O145" s="257"/>
      <c r="P145" s="16"/>
      <c r="Q145" s="116"/>
      <c r="R145" s="116"/>
      <c r="S145" s="116"/>
      <c r="T145" s="160">
        <f t="shared" si="12"/>
        <v>0</v>
      </c>
    </row>
    <row r="146" spans="1:20" ht="15" customHeight="1" x14ac:dyDescent="0.2">
      <c r="A146" s="223"/>
      <c r="B146" s="224"/>
      <c r="C146" s="224"/>
      <c r="D146" s="224"/>
      <c r="E146" s="224"/>
      <c r="F146" s="224"/>
      <c r="G146" s="257" t="s">
        <v>289</v>
      </c>
      <c r="H146" s="257"/>
      <c r="I146" s="257"/>
      <c r="J146" s="257"/>
      <c r="K146" s="257"/>
      <c r="L146" s="257"/>
      <c r="M146" s="257"/>
      <c r="N146" s="257"/>
      <c r="O146" s="257"/>
      <c r="P146" s="16"/>
      <c r="Q146" s="116"/>
      <c r="R146" s="116"/>
      <c r="S146" s="116"/>
      <c r="T146" s="160">
        <f t="shared" si="12"/>
        <v>0</v>
      </c>
    </row>
    <row r="147" spans="1:20" ht="15" customHeight="1" x14ac:dyDescent="0.2">
      <c r="A147" s="223"/>
      <c r="B147" s="224"/>
      <c r="C147" s="224"/>
      <c r="D147" s="224"/>
      <c r="E147" s="224"/>
      <c r="F147" s="224"/>
      <c r="G147" s="257" t="s">
        <v>290</v>
      </c>
      <c r="H147" s="257"/>
      <c r="I147" s="257"/>
      <c r="J147" s="257"/>
      <c r="K147" s="257"/>
      <c r="L147" s="257"/>
      <c r="M147" s="257"/>
      <c r="N147" s="257"/>
      <c r="O147" s="257"/>
      <c r="P147" s="16"/>
      <c r="Q147" s="116"/>
      <c r="R147" s="116"/>
      <c r="S147" s="116"/>
      <c r="T147" s="160">
        <f t="shared" si="12"/>
        <v>0</v>
      </c>
    </row>
    <row r="148" spans="1:20" ht="15" customHeight="1" x14ac:dyDescent="0.2">
      <c r="A148" s="223"/>
      <c r="B148" s="224"/>
      <c r="C148" s="224"/>
      <c r="D148" s="224"/>
      <c r="E148" s="224"/>
      <c r="F148" s="224"/>
      <c r="G148" s="257" t="s">
        <v>291</v>
      </c>
      <c r="H148" s="257"/>
      <c r="I148" s="257"/>
      <c r="J148" s="257"/>
      <c r="K148" s="257"/>
      <c r="L148" s="257"/>
      <c r="M148" s="257"/>
      <c r="N148" s="257"/>
      <c r="O148" s="257"/>
      <c r="P148" s="16"/>
      <c r="Q148" s="116"/>
      <c r="R148" s="116"/>
      <c r="S148" s="116"/>
      <c r="T148" s="160">
        <f t="shared" si="12"/>
        <v>0</v>
      </c>
    </row>
    <row r="149" spans="1:20" ht="10.5" customHeight="1" x14ac:dyDescent="0.2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3"/>
      <c r="M149" s="23"/>
      <c r="N149" s="23"/>
      <c r="O149" s="23"/>
      <c r="P149" s="16"/>
      <c r="Q149" s="116"/>
      <c r="R149" s="116"/>
      <c r="S149" s="116"/>
      <c r="T149" s="160"/>
    </row>
    <row r="150" spans="1:20" ht="21.75" customHeight="1" x14ac:dyDescent="0.2">
      <c r="A150" s="149" t="s">
        <v>292</v>
      </c>
      <c r="B150" s="285" t="s">
        <v>143</v>
      </c>
      <c r="C150" s="285"/>
      <c r="D150" s="285"/>
      <c r="E150" s="285"/>
      <c r="F150" s="285"/>
      <c r="G150" s="286" t="s">
        <v>281</v>
      </c>
      <c r="H150" s="286"/>
      <c r="I150" s="286"/>
      <c r="J150" s="286"/>
      <c r="K150" s="286"/>
      <c r="L150" s="286"/>
      <c r="M150" s="286"/>
      <c r="N150" s="286"/>
      <c r="O150" s="286"/>
      <c r="P150" s="96"/>
      <c r="Q150" s="118"/>
      <c r="R150" s="118"/>
      <c r="S150" s="118"/>
      <c r="T150" s="161">
        <f>P150+Q150+R150+S150</f>
        <v>0</v>
      </c>
    </row>
    <row r="151" spans="1:20" ht="21" customHeight="1" x14ac:dyDescent="0.2">
      <c r="A151" s="335" t="s">
        <v>293</v>
      </c>
      <c r="B151" s="336"/>
      <c r="C151" s="336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150"/>
      <c r="T151" s="162">
        <f>T140+T141+T142+T143+T144+T145+T146+T147+T148+T150</f>
        <v>0</v>
      </c>
    </row>
    <row r="152" spans="1:20" x14ac:dyDescent="0.2">
      <c r="A152" s="337" t="s">
        <v>294</v>
      </c>
      <c r="B152" s="338"/>
      <c r="C152" s="338"/>
      <c r="D152" s="338"/>
      <c r="E152" s="338"/>
      <c r="F152" s="338"/>
      <c r="G152" s="339" t="s">
        <v>184</v>
      </c>
      <c r="H152" s="339"/>
      <c r="I152" s="339"/>
      <c r="J152" s="339"/>
      <c r="K152" s="339"/>
      <c r="L152" s="339"/>
      <c r="M152" s="339"/>
      <c r="N152" s="339"/>
      <c r="O152" s="339"/>
      <c r="P152" s="49" t="s">
        <v>185</v>
      </c>
      <c r="Q152" s="49" t="s">
        <v>186</v>
      </c>
      <c r="R152" s="49" t="s">
        <v>187</v>
      </c>
      <c r="S152" s="49" t="s">
        <v>188</v>
      </c>
      <c r="T152" s="163" t="s">
        <v>171</v>
      </c>
    </row>
    <row r="153" spans="1:20" ht="15.75" customHeight="1" x14ac:dyDescent="0.2">
      <c r="A153" s="25" t="s">
        <v>276</v>
      </c>
      <c r="B153" s="340" t="s">
        <v>145</v>
      </c>
      <c r="C153" s="341"/>
      <c r="D153" s="341"/>
      <c r="E153" s="341"/>
      <c r="F153" s="342"/>
      <c r="G153" s="269" t="s">
        <v>295</v>
      </c>
      <c r="H153" s="269"/>
      <c r="I153" s="269"/>
      <c r="J153" s="269"/>
      <c r="K153" s="269"/>
      <c r="L153" s="269"/>
      <c r="M153" s="269"/>
      <c r="N153" s="269"/>
      <c r="O153" s="269"/>
      <c r="P153" s="102"/>
      <c r="Q153" s="126"/>
      <c r="R153" s="126"/>
      <c r="S153" s="126"/>
      <c r="T153" s="128">
        <f>P153+Q153+R153+S153</f>
        <v>0</v>
      </c>
    </row>
    <row r="154" spans="1:20" ht="19.5" customHeight="1" x14ac:dyDescent="0.2">
      <c r="A154" s="28" t="s">
        <v>282</v>
      </c>
      <c r="B154" s="343" t="s">
        <v>148</v>
      </c>
      <c r="C154" s="343"/>
      <c r="D154" s="343"/>
      <c r="E154" s="343"/>
      <c r="F154" s="343"/>
      <c r="G154" s="344" t="s">
        <v>296</v>
      </c>
      <c r="H154" s="344"/>
      <c r="I154" s="344"/>
      <c r="J154" s="344"/>
      <c r="K154" s="344"/>
      <c r="L154" s="344"/>
      <c r="M154" s="344"/>
      <c r="N154" s="344"/>
      <c r="O154" s="344"/>
      <c r="P154" s="96"/>
      <c r="Q154" s="118"/>
      <c r="R154" s="118"/>
      <c r="S154" s="118"/>
      <c r="T154" s="130">
        <f t="shared" ref="T154" si="13">P154+Q154+R154+S154</f>
        <v>0</v>
      </c>
    </row>
    <row r="155" spans="1:20" ht="15.75" customHeight="1" x14ac:dyDescent="0.2">
      <c r="A155" s="345" t="s">
        <v>297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162">
        <f>T153+T154</f>
        <v>0</v>
      </c>
    </row>
    <row r="156" spans="1:20" ht="15.75" customHeight="1" x14ac:dyDescent="0.2">
      <c r="A156" s="347" t="s">
        <v>298</v>
      </c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135">
        <f>T138+T151++T155</f>
        <v>0</v>
      </c>
    </row>
    <row r="157" spans="1:20" ht="15.75" customHeight="1" x14ac:dyDescent="0.2">
      <c r="A157" s="318" t="s">
        <v>152</v>
      </c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8">
        <f>T35+T130+T156</f>
        <v>692</v>
      </c>
      <c r="T157" s="322"/>
    </row>
    <row r="158" spans="1:20" ht="21.75" customHeight="1" x14ac:dyDescent="0.2">
      <c r="A158" s="320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0"/>
      <c r="T158" s="323"/>
    </row>
  </sheetData>
  <mergeCells count="263">
    <mergeCell ref="B94:C95"/>
    <mergeCell ref="D94:K95"/>
    <mergeCell ref="B89:C92"/>
    <mergeCell ref="B83:C87"/>
    <mergeCell ref="B77:C81"/>
    <mergeCell ref="A75:C76"/>
    <mergeCell ref="D75:K76"/>
    <mergeCell ref="B69:I72"/>
    <mergeCell ref="B25:B26"/>
    <mergeCell ref="B27:B28"/>
    <mergeCell ref="B29:B30"/>
    <mergeCell ref="B31:B33"/>
    <mergeCell ref="J51:O51"/>
    <mergeCell ref="J52:O52"/>
    <mergeCell ref="J53:O53"/>
    <mergeCell ref="J54:O54"/>
    <mergeCell ref="A83:A87"/>
    <mergeCell ref="A89:A92"/>
    <mergeCell ref="T132:T133"/>
    <mergeCell ref="A157:R158"/>
    <mergeCell ref="S157:T158"/>
    <mergeCell ref="B145:F148"/>
    <mergeCell ref="B134:C135"/>
    <mergeCell ref="A132:C133"/>
    <mergeCell ref="D132:K133"/>
    <mergeCell ref="B123:D126"/>
    <mergeCell ref="B114:F115"/>
    <mergeCell ref="A118:C119"/>
    <mergeCell ref="D118:K119"/>
    <mergeCell ref="A151:R151"/>
    <mergeCell ref="A152:F152"/>
    <mergeCell ref="G152:O152"/>
    <mergeCell ref="B153:F153"/>
    <mergeCell ref="G153:O153"/>
    <mergeCell ref="B154:F154"/>
    <mergeCell ref="G154:O154"/>
    <mergeCell ref="A155:S155"/>
    <mergeCell ref="A156:S156"/>
    <mergeCell ref="B143:F143"/>
    <mergeCell ref="G143:O143"/>
    <mergeCell ref="B144:F144"/>
    <mergeCell ref="G144:O144"/>
    <mergeCell ref="T17:T18"/>
    <mergeCell ref="T19:T21"/>
    <mergeCell ref="T23:T24"/>
    <mergeCell ref="T25:T26"/>
    <mergeCell ref="T27:T28"/>
    <mergeCell ref="T29:T30"/>
    <mergeCell ref="T31:T33"/>
    <mergeCell ref="T75:T76"/>
    <mergeCell ref="T118:T119"/>
    <mergeCell ref="A94:A95"/>
    <mergeCell ref="A101:A103"/>
    <mergeCell ref="G101:O101"/>
    <mergeCell ref="G102:O102"/>
    <mergeCell ref="G103:O103"/>
    <mergeCell ref="D80:K80"/>
    <mergeCell ref="D81:K81"/>
    <mergeCell ref="D83:K83"/>
    <mergeCell ref="D84:K84"/>
    <mergeCell ref="D85:K85"/>
    <mergeCell ref="D86:K86"/>
    <mergeCell ref="D87:K87"/>
    <mergeCell ref="D89:K89"/>
    <mergeCell ref="D90:K90"/>
    <mergeCell ref="D91:K91"/>
    <mergeCell ref="D92:K92"/>
    <mergeCell ref="B97:C97"/>
    <mergeCell ref="D97:K97"/>
    <mergeCell ref="A98:R98"/>
    <mergeCell ref="A99:F99"/>
    <mergeCell ref="G99:O99"/>
    <mergeCell ref="B100:F100"/>
    <mergeCell ref="G100:O100"/>
    <mergeCell ref="B101:F103"/>
    <mergeCell ref="A25:A26"/>
    <mergeCell ref="A27:A28"/>
    <mergeCell ref="A29:A30"/>
    <mergeCell ref="A31:A33"/>
    <mergeCell ref="A38:A43"/>
    <mergeCell ref="A45:A49"/>
    <mergeCell ref="A51:A55"/>
    <mergeCell ref="A57:A61"/>
    <mergeCell ref="A63:A67"/>
    <mergeCell ref="G145:O145"/>
    <mergeCell ref="G146:O146"/>
    <mergeCell ref="G147:O147"/>
    <mergeCell ref="G148:O148"/>
    <mergeCell ref="B150:F150"/>
    <mergeCell ref="G150:O150"/>
    <mergeCell ref="D135:K135"/>
    <mergeCell ref="A138:S138"/>
    <mergeCell ref="A139:F139"/>
    <mergeCell ref="G139:O139"/>
    <mergeCell ref="B140:F140"/>
    <mergeCell ref="G140:O140"/>
    <mergeCell ref="B141:F141"/>
    <mergeCell ref="G141:O141"/>
    <mergeCell ref="B142:F142"/>
    <mergeCell ref="G142:O142"/>
    <mergeCell ref="A134:A135"/>
    <mergeCell ref="A145:A148"/>
    <mergeCell ref="E129:O129"/>
    <mergeCell ref="A130:S130"/>
    <mergeCell ref="A131:R131"/>
    <mergeCell ref="L132:M132"/>
    <mergeCell ref="N132:O132"/>
    <mergeCell ref="P132:Q132"/>
    <mergeCell ref="R132:S132"/>
    <mergeCell ref="D134:K134"/>
    <mergeCell ref="B120:C120"/>
    <mergeCell ref="D120:K120"/>
    <mergeCell ref="A121:R121"/>
    <mergeCell ref="E122:O122"/>
    <mergeCell ref="E123:O123"/>
    <mergeCell ref="E124:O124"/>
    <mergeCell ref="E125:O125"/>
    <mergeCell ref="E126:O126"/>
    <mergeCell ref="B128:R128"/>
    <mergeCell ref="A123:A126"/>
    <mergeCell ref="A129:D129"/>
    <mergeCell ref="G111:O111"/>
    <mergeCell ref="G112:O112"/>
    <mergeCell ref="G114:O114"/>
    <mergeCell ref="G115:O115"/>
    <mergeCell ref="A117:S117"/>
    <mergeCell ref="L118:M118"/>
    <mergeCell ref="N118:O118"/>
    <mergeCell ref="P118:Q118"/>
    <mergeCell ref="R118:S118"/>
    <mergeCell ref="B105:F112"/>
    <mergeCell ref="G105:O105"/>
    <mergeCell ref="G106:O106"/>
    <mergeCell ref="G107:O107"/>
    <mergeCell ref="G108:O108"/>
    <mergeCell ref="G109:O109"/>
    <mergeCell ref="G110:O110"/>
    <mergeCell ref="A105:A112"/>
    <mergeCell ref="A114:A115"/>
    <mergeCell ref="N75:O75"/>
    <mergeCell ref="P75:Q75"/>
    <mergeCell ref="R75:S75"/>
    <mergeCell ref="D77:K77"/>
    <mergeCell ref="D78:K78"/>
    <mergeCell ref="D79:K79"/>
    <mergeCell ref="A69:A72"/>
    <mergeCell ref="A77:A81"/>
    <mergeCell ref="J61:O61"/>
    <mergeCell ref="J63:O63"/>
    <mergeCell ref="J64:O64"/>
    <mergeCell ref="J65:O65"/>
    <mergeCell ref="J66:O66"/>
    <mergeCell ref="J67:O67"/>
    <mergeCell ref="J69:O69"/>
    <mergeCell ref="J70:O70"/>
    <mergeCell ref="J71:O71"/>
    <mergeCell ref="J72:O72"/>
    <mergeCell ref="A74:S74"/>
    <mergeCell ref="L75:M75"/>
    <mergeCell ref="B63:I67"/>
    <mergeCell ref="B57:I61"/>
    <mergeCell ref="J60:O60"/>
    <mergeCell ref="J40:O40"/>
    <mergeCell ref="J41:O41"/>
    <mergeCell ref="J42:O42"/>
    <mergeCell ref="J43:O43"/>
    <mergeCell ref="J45:O45"/>
    <mergeCell ref="J46:O46"/>
    <mergeCell ref="J47:O47"/>
    <mergeCell ref="J48:O48"/>
    <mergeCell ref="J49:O49"/>
    <mergeCell ref="A34:S34"/>
    <mergeCell ref="A35:S35"/>
    <mergeCell ref="J37:O37"/>
    <mergeCell ref="J38:O38"/>
    <mergeCell ref="J39:O39"/>
    <mergeCell ref="J55:O55"/>
    <mergeCell ref="J57:O57"/>
    <mergeCell ref="J58:O58"/>
    <mergeCell ref="J59:O59"/>
    <mergeCell ref="B51:I55"/>
    <mergeCell ref="B45:I49"/>
    <mergeCell ref="B38:I43"/>
    <mergeCell ref="D31:G31"/>
    <mergeCell ref="H31:K31"/>
    <mergeCell ref="L31:O31"/>
    <mergeCell ref="P31:S31"/>
    <mergeCell ref="D32:G32"/>
    <mergeCell ref="H32:K32"/>
    <mergeCell ref="L32:O32"/>
    <mergeCell ref="P32:S32"/>
    <mergeCell ref="D33:G33"/>
    <mergeCell ref="H33:K33"/>
    <mergeCell ref="L33:O33"/>
    <mergeCell ref="P33:S33"/>
    <mergeCell ref="D28:G28"/>
    <mergeCell ref="H28:K28"/>
    <mergeCell ref="L28:O28"/>
    <mergeCell ref="P28:S28"/>
    <mergeCell ref="D29:G29"/>
    <mergeCell ref="H29:K29"/>
    <mergeCell ref="L29:O29"/>
    <mergeCell ref="P29:S29"/>
    <mergeCell ref="D30:G30"/>
    <mergeCell ref="H30:K30"/>
    <mergeCell ref="L30:O30"/>
    <mergeCell ref="P30:S30"/>
    <mergeCell ref="D25:G25"/>
    <mergeCell ref="H25:K25"/>
    <mergeCell ref="L25:O25"/>
    <mergeCell ref="P25:S25"/>
    <mergeCell ref="D26:G26"/>
    <mergeCell ref="H26:K26"/>
    <mergeCell ref="L26:O26"/>
    <mergeCell ref="P26:S26"/>
    <mergeCell ref="D27:G27"/>
    <mergeCell ref="H27:K27"/>
    <mergeCell ref="L27:O27"/>
    <mergeCell ref="P27:S27"/>
    <mergeCell ref="D17:G17"/>
    <mergeCell ref="H17:K17"/>
    <mergeCell ref="L17:O17"/>
    <mergeCell ref="P17:S17"/>
    <mergeCell ref="A22:R22"/>
    <mergeCell ref="D23:G23"/>
    <mergeCell ref="H23:K23"/>
    <mergeCell ref="L23:O23"/>
    <mergeCell ref="P23:S23"/>
    <mergeCell ref="A19:A21"/>
    <mergeCell ref="B19:B21"/>
    <mergeCell ref="K19:K21"/>
    <mergeCell ref="O19:O21"/>
    <mergeCell ref="S19:S21"/>
    <mergeCell ref="C17:C18"/>
    <mergeCell ref="C23:C24"/>
    <mergeCell ref="G19:G21"/>
    <mergeCell ref="D24:G24"/>
    <mergeCell ref="H24:K24"/>
    <mergeCell ref="L24:O24"/>
    <mergeCell ref="P24:S24"/>
    <mergeCell ref="A23:B24"/>
    <mergeCell ref="A17:B18"/>
    <mergeCell ref="B1:T1"/>
    <mergeCell ref="A3:T3"/>
    <mergeCell ref="A4:T4"/>
    <mergeCell ref="B5:T5"/>
    <mergeCell ref="A9:T9"/>
    <mergeCell ref="D10:H10"/>
    <mergeCell ref="I10:M10"/>
    <mergeCell ref="O10:S10"/>
    <mergeCell ref="A16:R16"/>
    <mergeCell ref="A10:A11"/>
    <mergeCell ref="A12:A13"/>
    <mergeCell ref="A14:A15"/>
    <mergeCell ref="B10:B11"/>
    <mergeCell ref="B12:B13"/>
    <mergeCell ref="B14:B15"/>
    <mergeCell ref="N10:N11"/>
    <mergeCell ref="T10:T11"/>
    <mergeCell ref="T12:T13"/>
    <mergeCell ref="T14:T15"/>
    <mergeCell ref="C10:C11"/>
    <mergeCell ref="C12:C15"/>
  </mergeCells>
  <pageMargins left="0.7" right="0.7" top="0.75" bottom="0.75" header="0.3" footer="0.3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58"/>
  <sheetViews>
    <sheetView topLeftCell="A148" workbookViewId="0">
      <selection activeCell="N178" sqref="N178"/>
    </sheetView>
  </sheetViews>
  <sheetFormatPr defaultColWidth="9.140625" defaultRowHeight="11.25" x14ac:dyDescent="0.2"/>
  <cols>
    <col min="1" max="1" width="5" style="1" customWidth="1"/>
    <col min="2" max="2" width="25.7109375" style="2" customWidth="1"/>
    <col min="3" max="3" width="11.140625" style="2" customWidth="1"/>
    <col min="4" max="11" width="3.42578125" style="2" customWidth="1"/>
    <col min="12" max="19" width="4.42578125" style="2" customWidth="1"/>
    <col min="20" max="20" width="26.140625" style="2" customWidth="1"/>
    <col min="21" max="21" width="9.140625" style="2"/>
    <col min="22" max="22" width="32.28515625" style="2" customWidth="1"/>
    <col min="23" max="16384" width="9.140625" style="2"/>
  </cols>
  <sheetData>
    <row r="1" spans="1:20" ht="18" customHeight="1" x14ac:dyDescent="0.2">
      <c r="B1" s="192" t="s">
        <v>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20" ht="9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O2" s="3"/>
      <c r="P2" s="42" t="s">
        <v>153</v>
      </c>
      <c r="Q2" s="42"/>
      <c r="R2" s="42"/>
      <c r="S2" s="42"/>
      <c r="T2" s="42"/>
    </row>
    <row r="3" spans="1:20" ht="15" customHeight="1" x14ac:dyDescent="0.2">
      <c r="A3" s="193" t="s">
        <v>154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20" ht="50.25" customHeight="1" x14ac:dyDescent="0.2">
      <c r="A4" s="194" t="s">
        <v>155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</row>
    <row r="5" spans="1:20" ht="16.5" customHeight="1" x14ac:dyDescent="0.2">
      <c r="A5" s="4" t="s">
        <v>3</v>
      </c>
      <c r="B5" s="197" t="s">
        <v>156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9"/>
    </row>
    <row r="6" spans="1:20" ht="17.25" customHeight="1" x14ac:dyDescent="0.2">
      <c r="A6" s="5" t="s">
        <v>157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8"/>
    </row>
    <row r="7" spans="1:20" ht="33" customHeight="1" x14ac:dyDescent="0.2">
      <c r="A7" s="7" t="s">
        <v>158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59"/>
    </row>
    <row r="8" spans="1:20" ht="14.25" customHeight="1" x14ac:dyDescent="0.2">
      <c r="A8" s="9" t="s">
        <v>159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60">
        <v>0.2</v>
      </c>
    </row>
    <row r="9" spans="1:20" ht="25.5" customHeight="1" x14ac:dyDescent="0.2">
      <c r="A9" s="200" t="s">
        <v>160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2"/>
    </row>
    <row r="10" spans="1:20" ht="19.5" customHeight="1" x14ac:dyDescent="0.2">
      <c r="A10" s="207"/>
      <c r="B10" s="210"/>
      <c r="C10" s="217" t="s">
        <v>14</v>
      </c>
      <c r="D10" s="203" t="s">
        <v>161</v>
      </c>
      <c r="E10" s="203"/>
      <c r="F10" s="203"/>
      <c r="G10" s="203"/>
      <c r="H10" s="203"/>
      <c r="I10" s="203" t="s">
        <v>162</v>
      </c>
      <c r="J10" s="203"/>
      <c r="K10" s="203"/>
      <c r="L10" s="203"/>
      <c r="M10" s="203"/>
      <c r="N10" s="204" t="s">
        <v>163</v>
      </c>
      <c r="O10" s="204" t="s">
        <v>164</v>
      </c>
      <c r="P10" s="204"/>
      <c r="Q10" s="204"/>
      <c r="R10" s="204"/>
      <c r="S10" s="204"/>
      <c r="T10" s="213" t="s">
        <v>165</v>
      </c>
    </row>
    <row r="11" spans="1:20" ht="22.5" customHeight="1" x14ac:dyDescent="0.2">
      <c r="A11" s="208"/>
      <c r="B11" s="211"/>
      <c r="C11" s="218"/>
      <c r="D11" s="12" t="s">
        <v>8</v>
      </c>
      <c r="E11" s="12" t="s">
        <v>9</v>
      </c>
      <c r="F11" s="12" t="s">
        <v>10</v>
      </c>
      <c r="G11" s="12" t="s">
        <v>11</v>
      </c>
      <c r="H11" s="12" t="s">
        <v>166</v>
      </c>
      <c r="I11" s="12" t="s">
        <v>8</v>
      </c>
      <c r="J11" s="12" t="s">
        <v>9</v>
      </c>
      <c r="K11" s="12" t="s">
        <v>10</v>
      </c>
      <c r="L11" s="12" t="s">
        <v>11</v>
      </c>
      <c r="M11" s="12" t="s">
        <v>166</v>
      </c>
      <c r="N11" s="212"/>
      <c r="O11" s="12" t="s">
        <v>8</v>
      </c>
      <c r="P11" s="12" t="s">
        <v>9</v>
      </c>
      <c r="Q11" s="12" t="s">
        <v>10</v>
      </c>
      <c r="R11" s="12" t="s">
        <v>11</v>
      </c>
      <c r="S11" s="12" t="s">
        <v>166</v>
      </c>
      <c r="T11" s="214"/>
    </row>
    <row r="12" spans="1:20" ht="12.75" customHeight="1" x14ac:dyDescent="0.2">
      <c r="A12" s="209" t="s">
        <v>50</v>
      </c>
      <c r="B12" s="209" t="s">
        <v>167</v>
      </c>
      <c r="C12" s="219" t="s">
        <v>168</v>
      </c>
      <c r="D12" s="14">
        <v>80</v>
      </c>
      <c r="E12" s="15"/>
      <c r="F12" s="15"/>
      <c r="G12" s="15"/>
      <c r="H12" s="15">
        <f>(D12+E12+F12+G12)/4</f>
        <v>20</v>
      </c>
      <c r="I12" s="17"/>
      <c r="J12" s="17"/>
      <c r="K12" s="17"/>
      <c r="L12" s="17"/>
      <c r="M12" s="15">
        <f>(I12+J12+K12+L12)/4</f>
        <v>0</v>
      </c>
      <c r="N12" s="43">
        <v>1</v>
      </c>
      <c r="O12" s="43"/>
      <c r="P12" s="43"/>
      <c r="Q12" s="43"/>
      <c r="R12" s="43"/>
      <c r="S12" s="43">
        <f>SUM(O12:R12)/4</f>
        <v>0</v>
      </c>
      <c r="T12" s="215">
        <f>(H12+N12-0.2*S12)+(M12-0.2*S12)</f>
        <v>21</v>
      </c>
    </row>
    <row r="13" spans="1:20" ht="21.75" customHeight="1" x14ac:dyDescent="0.2">
      <c r="A13" s="209"/>
      <c r="B13" s="209"/>
      <c r="C13" s="219"/>
      <c r="D13" s="16"/>
      <c r="E13" s="15"/>
      <c r="F13" s="15"/>
      <c r="G13" s="15"/>
      <c r="H13" s="15"/>
      <c r="I13" s="16"/>
      <c r="J13" s="16"/>
      <c r="K13" s="16"/>
      <c r="L13" s="16"/>
      <c r="M13" s="16"/>
      <c r="N13" s="44"/>
      <c r="O13" s="45"/>
      <c r="P13" s="46"/>
      <c r="Q13" s="46"/>
      <c r="R13" s="46"/>
      <c r="S13" s="46"/>
      <c r="T13" s="216"/>
    </row>
    <row r="14" spans="1:20" ht="13.5" customHeight="1" x14ac:dyDescent="0.2">
      <c r="A14" s="209" t="s">
        <v>54</v>
      </c>
      <c r="B14" s="209" t="s">
        <v>169</v>
      </c>
      <c r="C14" s="219"/>
      <c r="D14" s="16">
        <v>80</v>
      </c>
      <c r="E14" s="16"/>
      <c r="F14" s="16"/>
      <c r="G14" s="16"/>
      <c r="H14" s="15">
        <f>(D14+E14+F14+G14)/4</f>
        <v>20</v>
      </c>
      <c r="I14" s="16"/>
      <c r="J14" s="16"/>
      <c r="K14" s="16"/>
      <c r="L14" s="16"/>
      <c r="M14" s="15">
        <f>(I14+J14+K14+L14)/4</f>
        <v>0</v>
      </c>
      <c r="N14" s="43">
        <v>1</v>
      </c>
      <c r="O14" s="43"/>
      <c r="P14" s="43"/>
      <c r="Q14" s="43"/>
      <c r="R14" s="43"/>
      <c r="S14" s="43">
        <f>SUM(O14:R14)/4</f>
        <v>0</v>
      </c>
      <c r="T14" s="215">
        <f>(H14+N14-0.2*S14)+(M14-0.2*S14)</f>
        <v>21</v>
      </c>
    </row>
    <row r="15" spans="1:20" ht="33" customHeight="1" x14ac:dyDescent="0.2">
      <c r="A15" s="209"/>
      <c r="B15" s="209"/>
      <c r="C15" s="21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47"/>
      <c r="O15" s="48"/>
      <c r="P15" s="46"/>
      <c r="Q15" s="46"/>
      <c r="R15" s="46"/>
      <c r="S15" s="46"/>
      <c r="T15" s="216"/>
    </row>
    <row r="16" spans="1:20" ht="21" customHeight="1" x14ac:dyDescent="0.2">
      <c r="A16" s="205" t="s">
        <v>29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61"/>
      <c r="T16" s="62">
        <f>T12+T14</f>
        <v>42</v>
      </c>
    </row>
    <row r="17" spans="1:20" ht="32.25" customHeight="1" x14ac:dyDescent="0.2">
      <c r="A17" s="356" t="s">
        <v>170</v>
      </c>
      <c r="B17" s="226"/>
      <c r="C17" s="226" t="s">
        <v>14</v>
      </c>
      <c r="D17" s="220" t="s">
        <v>31</v>
      </c>
      <c r="E17" s="220"/>
      <c r="F17" s="220"/>
      <c r="G17" s="220"/>
      <c r="H17" s="220" t="s">
        <v>32</v>
      </c>
      <c r="I17" s="220"/>
      <c r="J17" s="220"/>
      <c r="K17" s="220"/>
      <c r="L17" s="220" t="s">
        <v>33</v>
      </c>
      <c r="M17" s="220"/>
      <c r="N17" s="220"/>
      <c r="O17" s="220"/>
      <c r="P17" s="220" t="s">
        <v>34</v>
      </c>
      <c r="Q17" s="220"/>
      <c r="R17" s="220"/>
      <c r="S17" s="220"/>
      <c r="T17" s="309" t="s">
        <v>171</v>
      </c>
    </row>
    <row r="18" spans="1:20" ht="30" customHeight="1" x14ac:dyDescent="0.2">
      <c r="A18" s="357"/>
      <c r="B18" s="225"/>
      <c r="C18" s="225"/>
      <c r="D18" s="18" t="s">
        <v>35</v>
      </c>
      <c r="E18" s="18" t="s">
        <v>172</v>
      </c>
      <c r="F18" s="18" t="s">
        <v>37</v>
      </c>
      <c r="G18" s="18" t="s">
        <v>39</v>
      </c>
      <c r="H18" s="18" t="s">
        <v>172</v>
      </c>
      <c r="I18" s="18" t="s">
        <v>37</v>
      </c>
      <c r="J18" s="18" t="s">
        <v>35</v>
      </c>
      <c r="K18" s="18" t="s">
        <v>39</v>
      </c>
      <c r="L18" s="18" t="s">
        <v>172</v>
      </c>
      <c r="M18" s="18" t="s">
        <v>37</v>
      </c>
      <c r="N18" s="18" t="s">
        <v>35</v>
      </c>
      <c r="O18" s="18" t="s">
        <v>39</v>
      </c>
      <c r="P18" s="18" t="s">
        <v>172</v>
      </c>
      <c r="Q18" s="18" t="s">
        <v>37</v>
      </c>
      <c r="R18" s="18" t="s">
        <v>35</v>
      </c>
      <c r="S18" s="18" t="s">
        <v>39</v>
      </c>
      <c r="T18" s="310"/>
    </row>
    <row r="19" spans="1:20" ht="11.25" customHeight="1" x14ac:dyDescent="0.2">
      <c r="A19" s="223" t="s">
        <v>50</v>
      </c>
      <c r="B19" s="224" t="s">
        <v>173</v>
      </c>
      <c r="C19" s="13" t="s">
        <v>174</v>
      </c>
      <c r="D19" s="15">
        <v>160</v>
      </c>
      <c r="E19" s="15"/>
      <c r="F19" s="15"/>
      <c r="G19" s="225">
        <f>D19+E19+F19+D20+E20+F20+D21+E21+F21</f>
        <v>160</v>
      </c>
      <c r="H19" s="15"/>
      <c r="I19" s="15"/>
      <c r="J19" s="15"/>
      <c r="K19" s="225">
        <f>H19+I19+J19+H20+I20+J20+H21+I21+J21</f>
        <v>0</v>
      </c>
      <c r="L19" s="15"/>
      <c r="M19" s="15"/>
      <c r="N19" s="15"/>
      <c r="O19" s="225">
        <f>L19+M19+N19+L20+M20+N20+L21+M21+N21</f>
        <v>0</v>
      </c>
      <c r="P19" s="15"/>
      <c r="Q19" s="15"/>
      <c r="R19" s="15"/>
      <c r="S19" s="225">
        <f t="shared" ref="S19" si="0">P19+Q19+R19+P20++Q20+R20+P21+Q21+R21</f>
        <v>0</v>
      </c>
      <c r="T19" s="310">
        <f>(G19+K19+O19+S19)/4</f>
        <v>40</v>
      </c>
    </row>
    <row r="20" spans="1:20" ht="11.25" customHeight="1" x14ac:dyDescent="0.2">
      <c r="A20" s="223"/>
      <c r="B20" s="224"/>
      <c r="C20" s="13" t="s">
        <v>175</v>
      </c>
      <c r="D20" s="15"/>
      <c r="E20" s="15"/>
      <c r="F20" s="15"/>
      <c r="G20" s="225"/>
      <c r="H20" s="15"/>
      <c r="I20" s="15"/>
      <c r="J20" s="15"/>
      <c r="K20" s="225"/>
      <c r="L20" s="15"/>
      <c r="M20" s="15"/>
      <c r="N20" s="15"/>
      <c r="O20" s="225"/>
      <c r="P20" s="15"/>
      <c r="Q20" s="15"/>
      <c r="R20" s="15"/>
      <c r="S20" s="225"/>
      <c r="T20" s="310"/>
    </row>
    <row r="21" spans="1:20" ht="28.5" customHeight="1" x14ac:dyDescent="0.2">
      <c r="A21" s="223"/>
      <c r="B21" s="224"/>
      <c r="C21" s="13" t="s">
        <v>176</v>
      </c>
      <c r="D21" s="15"/>
      <c r="E21" s="15"/>
      <c r="F21" s="15"/>
      <c r="G21" s="225"/>
      <c r="H21" s="15"/>
      <c r="I21" s="15"/>
      <c r="J21" s="15"/>
      <c r="K21" s="225"/>
      <c r="L21" s="15"/>
      <c r="M21" s="15"/>
      <c r="N21" s="15"/>
      <c r="O21" s="225"/>
      <c r="P21" s="15"/>
      <c r="Q21" s="15"/>
      <c r="R21" s="15"/>
      <c r="S21" s="225"/>
      <c r="T21" s="310"/>
    </row>
    <row r="22" spans="1:20" ht="20.25" customHeight="1" x14ac:dyDescent="0.2">
      <c r="A22" s="221" t="s">
        <v>48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1"/>
      <c r="T22" s="63">
        <f>T19</f>
        <v>40</v>
      </c>
    </row>
    <row r="23" spans="1:20" ht="21.75" customHeight="1" x14ac:dyDescent="0.2">
      <c r="A23" s="352" t="s">
        <v>177</v>
      </c>
      <c r="B23" s="353"/>
      <c r="C23" s="226" t="s">
        <v>14</v>
      </c>
      <c r="D23" s="220" t="s">
        <v>31</v>
      </c>
      <c r="E23" s="220"/>
      <c r="F23" s="220"/>
      <c r="G23" s="220"/>
      <c r="H23" s="220" t="s">
        <v>32</v>
      </c>
      <c r="I23" s="220"/>
      <c r="J23" s="220"/>
      <c r="K23" s="220"/>
      <c r="L23" s="220" t="s">
        <v>33</v>
      </c>
      <c r="M23" s="220"/>
      <c r="N23" s="220"/>
      <c r="O23" s="220"/>
      <c r="P23" s="220" t="s">
        <v>34</v>
      </c>
      <c r="Q23" s="220"/>
      <c r="R23" s="220"/>
      <c r="S23" s="220"/>
      <c r="T23" s="311" t="s">
        <v>171</v>
      </c>
    </row>
    <row r="24" spans="1:20" ht="21.75" customHeight="1" x14ac:dyDescent="0.2">
      <c r="A24" s="354"/>
      <c r="B24" s="355"/>
      <c r="C24" s="225"/>
      <c r="D24" s="227" t="s">
        <v>37</v>
      </c>
      <c r="E24" s="228"/>
      <c r="F24" s="228"/>
      <c r="G24" s="229"/>
      <c r="H24" s="227" t="s">
        <v>37</v>
      </c>
      <c r="I24" s="228"/>
      <c r="J24" s="228"/>
      <c r="K24" s="229"/>
      <c r="L24" s="227" t="s">
        <v>37</v>
      </c>
      <c r="M24" s="228"/>
      <c r="N24" s="228"/>
      <c r="O24" s="229"/>
      <c r="P24" s="227" t="s">
        <v>37</v>
      </c>
      <c r="Q24" s="228"/>
      <c r="R24" s="228"/>
      <c r="S24" s="229"/>
      <c r="T24" s="312"/>
    </row>
    <row r="25" spans="1:20" ht="10.5" customHeight="1" x14ac:dyDescent="0.2">
      <c r="A25" s="223" t="s">
        <v>50</v>
      </c>
      <c r="B25" s="373" t="s">
        <v>51</v>
      </c>
      <c r="C25" s="22" t="s">
        <v>52</v>
      </c>
      <c r="D25" s="225">
        <v>40</v>
      </c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310">
        <f>(D25+H25+L25+P25+D26+H26+L26+P26)/4</f>
        <v>10</v>
      </c>
    </row>
    <row r="26" spans="1:20" ht="10.5" customHeight="1" x14ac:dyDescent="0.2">
      <c r="A26" s="223"/>
      <c r="B26" s="374"/>
      <c r="C26" s="23" t="s">
        <v>178</v>
      </c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310"/>
    </row>
    <row r="27" spans="1:20" ht="10.5" customHeight="1" x14ac:dyDescent="0.2">
      <c r="A27" s="223" t="s">
        <v>54</v>
      </c>
      <c r="B27" s="331" t="s">
        <v>55</v>
      </c>
      <c r="C27" s="23" t="s">
        <v>56</v>
      </c>
      <c r="D27" s="225">
        <v>40</v>
      </c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310">
        <f>(D27+H27+L27+P27+D28+H28+L28+P28)/4</f>
        <v>10</v>
      </c>
    </row>
    <row r="28" spans="1:20" ht="10.5" customHeight="1" x14ac:dyDescent="0.2">
      <c r="A28" s="223"/>
      <c r="B28" s="331"/>
      <c r="C28" s="23" t="s">
        <v>178</v>
      </c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310"/>
    </row>
    <row r="29" spans="1:20" ht="10.5" customHeight="1" x14ac:dyDescent="0.2">
      <c r="A29" s="223" t="s">
        <v>57</v>
      </c>
      <c r="B29" s="331" t="s">
        <v>58</v>
      </c>
      <c r="C29" s="13" t="s">
        <v>59</v>
      </c>
      <c r="D29" s="225">
        <v>40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310">
        <f>(D29+H29+L29+P29+D30+H30+L30+P30)/4</f>
        <v>10</v>
      </c>
    </row>
    <row r="30" spans="1:20" ht="10.5" customHeight="1" x14ac:dyDescent="0.2">
      <c r="A30" s="292"/>
      <c r="B30" s="375"/>
      <c r="C30" s="24" t="s">
        <v>179</v>
      </c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310"/>
    </row>
    <row r="31" spans="1:20" ht="10.5" customHeight="1" x14ac:dyDescent="0.2">
      <c r="A31" s="243" t="s">
        <v>61</v>
      </c>
      <c r="B31" s="325" t="s">
        <v>62</v>
      </c>
      <c r="C31" s="26" t="s">
        <v>63</v>
      </c>
      <c r="D31" s="225">
        <v>40</v>
      </c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313">
        <f>(D31+H31+L31+P31+D32+H32+L32+P32+D33+H33+L33+P33)/4</f>
        <v>10</v>
      </c>
    </row>
    <row r="32" spans="1:20" ht="10.5" customHeight="1" x14ac:dyDescent="0.2">
      <c r="A32" s="223"/>
      <c r="B32" s="331"/>
      <c r="C32" s="27" t="s">
        <v>180</v>
      </c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313"/>
    </row>
    <row r="33" spans="1:20" ht="10.5" customHeight="1" x14ac:dyDescent="0.2">
      <c r="A33" s="244"/>
      <c r="B33" s="326"/>
      <c r="C33" s="29" t="s">
        <v>181</v>
      </c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313"/>
    </row>
    <row r="34" spans="1:20" ht="18.75" customHeight="1" x14ac:dyDescent="0.2">
      <c r="A34" s="230" t="s">
        <v>66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2"/>
      <c r="T34" s="64">
        <f>T25+T27+T29+T31</f>
        <v>40</v>
      </c>
    </row>
    <row r="35" spans="1:20" ht="25.5" customHeight="1" x14ac:dyDescent="0.2">
      <c r="A35" s="233" t="s">
        <v>67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65">
        <f>T16+T22+T34</f>
        <v>122</v>
      </c>
    </row>
    <row r="36" spans="1:20" ht="18.75" customHeight="1" x14ac:dyDescent="0.2">
      <c r="A36" s="30" t="s">
        <v>182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6"/>
    </row>
    <row r="37" spans="1:20" ht="15" customHeight="1" x14ac:dyDescent="0.2">
      <c r="A37" s="32" t="s">
        <v>183</v>
      </c>
      <c r="B37" s="33"/>
      <c r="C37" s="33"/>
      <c r="D37" s="33"/>
      <c r="E37" s="33"/>
      <c r="F37" s="33"/>
      <c r="G37" s="33"/>
      <c r="H37" s="33"/>
      <c r="I37" s="33"/>
      <c r="J37" s="235" t="s">
        <v>184</v>
      </c>
      <c r="K37" s="235"/>
      <c r="L37" s="235"/>
      <c r="M37" s="235"/>
      <c r="N37" s="235"/>
      <c r="O37" s="236"/>
      <c r="P37" s="49" t="s">
        <v>185</v>
      </c>
      <c r="Q37" s="49" t="s">
        <v>186</v>
      </c>
      <c r="R37" s="67" t="s">
        <v>187</v>
      </c>
      <c r="S37" s="49" t="s">
        <v>188</v>
      </c>
      <c r="T37" s="68" t="s">
        <v>165</v>
      </c>
    </row>
    <row r="38" spans="1:20" ht="10.5" customHeight="1" x14ac:dyDescent="0.2">
      <c r="A38" s="293" t="s">
        <v>71</v>
      </c>
      <c r="B38" s="349" t="s">
        <v>189</v>
      </c>
      <c r="C38" s="240"/>
      <c r="D38" s="240"/>
      <c r="E38" s="240"/>
      <c r="F38" s="240"/>
      <c r="G38" s="240"/>
      <c r="H38" s="240"/>
      <c r="I38" s="240"/>
      <c r="J38" s="237" t="s">
        <v>190</v>
      </c>
      <c r="K38" s="237"/>
      <c r="L38" s="237"/>
      <c r="M38" s="237"/>
      <c r="N38" s="237"/>
      <c r="O38" s="237"/>
      <c r="P38" s="50">
        <v>20</v>
      </c>
      <c r="Q38" s="50">
        <v>10</v>
      </c>
      <c r="R38" s="50">
        <v>120</v>
      </c>
      <c r="S38" s="50"/>
      <c r="T38" s="69">
        <f>P38+Q38+R38+S38/4</f>
        <v>150</v>
      </c>
    </row>
    <row r="39" spans="1:20" ht="10.5" customHeight="1" x14ac:dyDescent="0.2">
      <c r="A39" s="294"/>
      <c r="B39" s="350"/>
      <c r="C39" s="350"/>
      <c r="D39" s="350"/>
      <c r="E39" s="350"/>
      <c r="F39" s="350"/>
      <c r="G39" s="350"/>
      <c r="H39" s="350"/>
      <c r="I39" s="350"/>
      <c r="J39" s="238" t="s">
        <v>191</v>
      </c>
      <c r="K39" s="238"/>
      <c r="L39" s="238"/>
      <c r="M39" s="238"/>
      <c r="N39" s="238"/>
      <c r="O39" s="238"/>
      <c r="P39" s="51">
        <v>100</v>
      </c>
      <c r="Q39" s="51">
        <v>100</v>
      </c>
      <c r="R39" s="51"/>
      <c r="S39" s="51"/>
      <c r="T39" s="69">
        <f t="shared" ref="T39:T43" si="1">P39+Q39+R39+S39/4</f>
        <v>200</v>
      </c>
    </row>
    <row r="40" spans="1:20" ht="10.5" customHeight="1" x14ac:dyDescent="0.2">
      <c r="A40" s="294"/>
      <c r="B40" s="350"/>
      <c r="C40" s="350"/>
      <c r="D40" s="350"/>
      <c r="E40" s="350"/>
      <c r="F40" s="350"/>
      <c r="G40" s="350"/>
      <c r="H40" s="350"/>
      <c r="I40" s="350"/>
      <c r="J40" s="238" t="s">
        <v>192</v>
      </c>
      <c r="K40" s="238"/>
      <c r="L40" s="238"/>
      <c r="M40" s="238"/>
      <c r="N40" s="238"/>
      <c r="O40" s="238"/>
      <c r="P40" s="51"/>
      <c r="Q40" s="51">
        <v>200</v>
      </c>
      <c r="R40" s="51"/>
      <c r="S40" s="51"/>
      <c r="T40" s="69">
        <f t="shared" si="1"/>
        <v>200</v>
      </c>
    </row>
    <row r="41" spans="1:20" ht="10.5" customHeight="1" x14ac:dyDescent="0.2">
      <c r="A41" s="294"/>
      <c r="B41" s="350"/>
      <c r="C41" s="350"/>
      <c r="D41" s="350"/>
      <c r="E41" s="350"/>
      <c r="F41" s="350"/>
      <c r="G41" s="350"/>
      <c r="H41" s="350"/>
      <c r="I41" s="350"/>
      <c r="J41" s="238" t="s">
        <v>193</v>
      </c>
      <c r="K41" s="238"/>
      <c r="L41" s="238"/>
      <c r="M41" s="238"/>
      <c r="N41" s="238"/>
      <c r="O41" s="238"/>
      <c r="P41" s="51"/>
      <c r="Q41" s="51"/>
      <c r="R41" s="51"/>
      <c r="S41" s="51"/>
      <c r="T41" s="69">
        <f t="shared" si="1"/>
        <v>0</v>
      </c>
    </row>
    <row r="42" spans="1:20" ht="10.5" customHeight="1" x14ac:dyDescent="0.2">
      <c r="A42" s="294"/>
      <c r="B42" s="350"/>
      <c r="C42" s="350"/>
      <c r="D42" s="350"/>
      <c r="E42" s="350"/>
      <c r="F42" s="350"/>
      <c r="G42" s="350"/>
      <c r="H42" s="350"/>
      <c r="I42" s="350"/>
      <c r="J42" s="238" t="s">
        <v>194</v>
      </c>
      <c r="K42" s="238"/>
      <c r="L42" s="238"/>
      <c r="M42" s="238"/>
      <c r="N42" s="238"/>
      <c r="O42" s="238"/>
      <c r="P42" s="51"/>
      <c r="Q42" s="51"/>
      <c r="R42" s="51"/>
      <c r="S42" s="51"/>
      <c r="T42" s="69">
        <f t="shared" si="1"/>
        <v>0</v>
      </c>
    </row>
    <row r="43" spans="1:20" ht="17.25" customHeight="1" x14ac:dyDescent="0.2">
      <c r="A43" s="295"/>
      <c r="B43" s="351"/>
      <c r="C43" s="351"/>
      <c r="D43" s="351"/>
      <c r="E43" s="351"/>
      <c r="F43" s="351"/>
      <c r="G43" s="351"/>
      <c r="H43" s="351"/>
      <c r="I43" s="351"/>
      <c r="J43" s="239" t="s">
        <v>195</v>
      </c>
      <c r="K43" s="239"/>
      <c r="L43" s="239"/>
      <c r="M43" s="239"/>
      <c r="N43" s="239"/>
      <c r="O43" s="239"/>
      <c r="P43" s="52"/>
      <c r="Q43" s="52"/>
      <c r="R43" s="52"/>
      <c r="S43" s="52"/>
      <c r="T43" s="69">
        <f t="shared" si="1"/>
        <v>0</v>
      </c>
    </row>
    <row r="44" spans="1:20" ht="16.5" customHeight="1" x14ac:dyDescent="0.2">
      <c r="A44" s="34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53"/>
      <c r="M44" s="53"/>
      <c r="N44" s="53"/>
      <c r="O44" s="54"/>
      <c r="P44" s="55"/>
      <c r="Q44" s="55"/>
      <c r="R44" s="55"/>
      <c r="S44" s="55"/>
      <c r="T44" s="70">
        <f>T38+T39+T40+T41+T42+T43</f>
        <v>550</v>
      </c>
    </row>
    <row r="45" spans="1:20" ht="11.25" customHeight="1" x14ac:dyDescent="0.2">
      <c r="A45" s="243" t="s">
        <v>79</v>
      </c>
      <c r="B45" s="226" t="s">
        <v>80</v>
      </c>
      <c r="C45" s="220"/>
      <c r="D45" s="220"/>
      <c r="E45" s="220"/>
      <c r="F45" s="220"/>
      <c r="G45" s="220"/>
      <c r="H45" s="220"/>
      <c r="I45" s="220"/>
      <c r="J45" s="237" t="s">
        <v>94</v>
      </c>
      <c r="K45" s="237"/>
      <c r="L45" s="237"/>
      <c r="M45" s="237"/>
      <c r="N45" s="237"/>
      <c r="O45" s="237"/>
      <c r="P45" s="50"/>
      <c r="Q45" s="50"/>
      <c r="R45" s="50"/>
      <c r="S45" s="50"/>
      <c r="T45" s="69">
        <f>P45+Q45+R45+S45</f>
        <v>0</v>
      </c>
    </row>
    <row r="46" spans="1:20" ht="11.25" customHeight="1" x14ac:dyDescent="0.2">
      <c r="A46" s="223"/>
      <c r="B46" s="216"/>
      <c r="C46" s="216"/>
      <c r="D46" s="216"/>
      <c r="E46" s="216"/>
      <c r="F46" s="216"/>
      <c r="G46" s="216"/>
      <c r="H46" s="216"/>
      <c r="I46" s="216"/>
      <c r="J46" s="238" t="s">
        <v>196</v>
      </c>
      <c r="K46" s="238"/>
      <c r="L46" s="238"/>
      <c r="M46" s="238"/>
      <c r="N46" s="238"/>
      <c r="O46" s="238"/>
      <c r="P46" s="51"/>
      <c r="Q46" s="51"/>
      <c r="R46" s="51"/>
      <c r="S46" s="51"/>
      <c r="T46" s="69">
        <f t="shared" ref="T46:T49" si="2">P46+Q46+R46+S46</f>
        <v>0</v>
      </c>
    </row>
    <row r="47" spans="1:20" ht="11.25" customHeight="1" x14ac:dyDescent="0.2">
      <c r="A47" s="223"/>
      <c r="B47" s="216"/>
      <c r="C47" s="216"/>
      <c r="D47" s="216"/>
      <c r="E47" s="216"/>
      <c r="F47" s="216"/>
      <c r="G47" s="216"/>
      <c r="H47" s="216"/>
      <c r="I47" s="216"/>
      <c r="J47" s="238" t="s">
        <v>197</v>
      </c>
      <c r="K47" s="238"/>
      <c r="L47" s="238"/>
      <c r="M47" s="238"/>
      <c r="N47" s="238"/>
      <c r="O47" s="238"/>
      <c r="P47" s="51"/>
      <c r="Q47" s="51"/>
      <c r="R47" s="51"/>
      <c r="S47" s="51"/>
      <c r="T47" s="69">
        <f t="shared" si="2"/>
        <v>0</v>
      </c>
    </row>
    <row r="48" spans="1:20" ht="11.25" customHeight="1" x14ac:dyDescent="0.2">
      <c r="A48" s="223"/>
      <c r="B48" s="216"/>
      <c r="C48" s="216"/>
      <c r="D48" s="216"/>
      <c r="E48" s="216"/>
      <c r="F48" s="216"/>
      <c r="G48" s="216"/>
      <c r="H48" s="216"/>
      <c r="I48" s="216"/>
      <c r="J48" s="238" t="s">
        <v>198</v>
      </c>
      <c r="K48" s="238"/>
      <c r="L48" s="238"/>
      <c r="M48" s="238"/>
      <c r="N48" s="238"/>
      <c r="O48" s="238"/>
      <c r="P48" s="51"/>
      <c r="Q48" s="51"/>
      <c r="R48" s="51"/>
      <c r="S48" s="51"/>
      <c r="T48" s="69">
        <f t="shared" si="2"/>
        <v>0</v>
      </c>
    </row>
    <row r="49" spans="1:20" ht="11.25" customHeight="1" x14ac:dyDescent="0.2">
      <c r="A49" s="223"/>
      <c r="B49" s="216"/>
      <c r="C49" s="216"/>
      <c r="D49" s="216"/>
      <c r="E49" s="216"/>
      <c r="F49" s="216"/>
      <c r="G49" s="216"/>
      <c r="H49" s="216"/>
      <c r="I49" s="216"/>
      <c r="J49" s="238" t="s">
        <v>199</v>
      </c>
      <c r="K49" s="238"/>
      <c r="L49" s="238"/>
      <c r="M49" s="238"/>
      <c r="N49" s="238"/>
      <c r="O49" s="238"/>
      <c r="P49" s="51"/>
      <c r="Q49" s="51"/>
      <c r="R49" s="51"/>
      <c r="S49" s="51"/>
      <c r="T49" s="69">
        <f t="shared" si="2"/>
        <v>0</v>
      </c>
    </row>
    <row r="50" spans="1:20" ht="18.75" customHeight="1" x14ac:dyDescent="0.2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56"/>
      <c r="M50" s="56"/>
      <c r="N50" s="56"/>
      <c r="O50" s="56"/>
      <c r="P50" s="57"/>
      <c r="Q50" s="55"/>
      <c r="R50" s="55"/>
      <c r="S50" s="71"/>
      <c r="T50" s="72">
        <f>T45+T46+T47+T48+T49</f>
        <v>0</v>
      </c>
    </row>
    <row r="51" spans="1:20" ht="18.75" customHeight="1" x14ac:dyDescent="0.2">
      <c r="A51" s="243" t="s">
        <v>81</v>
      </c>
      <c r="B51" s="226" t="s">
        <v>82</v>
      </c>
      <c r="C51" s="220"/>
      <c r="D51" s="220"/>
      <c r="E51" s="220"/>
      <c r="F51" s="220"/>
      <c r="G51" s="220"/>
      <c r="H51" s="220"/>
      <c r="I51" s="220"/>
      <c r="J51" s="237" t="s">
        <v>94</v>
      </c>
      <c r="K51" s="237"/>
      <c r="L51" s="237"/>
      <c r="M51" s="237"/>
      <c r="N51" s="237"/>
      <c r="O51" s="237"/>
      <c r="P51" s="50"/>
      <c r="Q51" s="50"/>
      <c r="R51" s="50"/>
      <c r="S51" s="50"/>
      <c r="T51" s="69">
        <f>P51+Q51+R51+S51</f>
        <v>0</v>
      </c>
    </row>
    <row r="52" spans="1:20" ht="18.75" customHeight="1" x14ac:dyDescent="0.2">
      <c r="A52" s="223"/>
      <c r="B52" s="216"/>
      <c r="C52" s="216"/>
      <c r="D52" s="216"/>
      <c r="E52" s="216"/>
      <c r="F52" s="216"/>
      <c r="G52" s="216"/>
      <c r="H52" s="216"/>
      <c r="I52" s="216"/>
      <c r="J52" s="238" t="s">
        <v>196</v>
      </c>
      <c r="K52" s="238"/>
      <c r="L52" s="238"/>
      <c r="M52" s="238"/>
      <c r="N52" s="238"/>
      <c r="O52" s="238"/>
      <c r="P52" s="51"/>
      <c r="Q52" s="51"/>
      <c r="R52" s="51"/>
      <c r="S52" s="51"/>
      <c r="T52" s="69">
        <f t="shared" ref="T52:T55" si="3">P52+Q52+R52+S52</f>
        <v>0</v>
      </c>
    </row>
    <row r="53" spans="1:20" ht="18.75" customHeight="1" x14ac:dyDescent="0.2">
      <c r="A53" s="223"/>
      <c r="B53" s="216"/>
      <c r="C53" s="216"/>
      <c r="D53" s="216"/>
      <c r="E53" s="216"/>
      <c r="F53" s="216"/>
      <c r="G53" s="216"/>
      <c r="H53" s="216"/>
      <c r="I53" s="216"/>
      <c r="J53" s="238" t="s">
        <v>197</v>
      </c>
      <c r="K53" s="238"/>
      <c r="L53" s="238"/>
      <c r="M53" s="238"/>
      <c r="N53" s="238"/>
      <c r="O53" s="238"/>
      <c r="P53" s="51"/>
      <c r="Q53" s="51"/>
      <c r="R53" s="51"/>
      <c r="S53" s="51"/>
      <c r="T53" s="69">
        <f t="shared" si="3"/>
        <v>0</v>
      </c>
    </row>
    <row r="54" spans="1:20" ht="18.75" customHeight="1" x14ac:dyDescent="0.2">
      <c r="A54" s="223"/>
      <c r="B54" s="216"/>
      <c r="C54" s="216"/>
      <c r="D54" s="216"/>
      <c r="E54" s="216"/>
      <c r="F54" s="216"/>
      <c r="G54" s="216"/>
      <c r="H54" s="216"/>
      <c r="I54" s="216"/>
      <c r="J54" s="238" t="s">
        <v>198</v>
      </c>
      <c r="K54" s="238"/>
      <c r="L54" s="238"/>
      <c r="M54" s="238"/>
      <c r="N54" s="238"/>
      <c r="O54" s="238"/>
      <c r="P54" s="51"/>
      <c r="Q54" s="51"/>
      <c r="R54" s="51"/>
      <c r="S54" s="51"/>
      <c r="T54" s="69">
        <f t="shared" si="3"/>
        <v>0</v>
      </c>
    </row>
    <row r="55" spans="1:20" ht="18.75" customHeight="1" x14ac:dyDescent="0.2">
      <c r="A55" s="223"/>
      <c r="B55" s="216"/>
      <c r="C55" s="216"/>
      <c r="D55" s="216"/>
      <c r="E55" s="216"/>
      <c r="F55" s="216"/>
      <c r="G55" s="216"/>
      <c r="H55" s="216"/>
      <c r="I55" s="216"/>
      <c r="J55" s="238" t="s">
        <v>199</v>
      </c>
      <c r="K55" s="238"/>
      <c r="L55" s="238"/>
      <c r="M55" s="238"/>
      <c r="N55" s="238"/>
      <c r="O55" s="238"/>
      <c r="P55" s="51"/>
      <c r="Q55" s="51"/>
      <c r="R55" s="51"/>
      <c r="S55" s="51"/>
      <c r="T55" s="69">
        <f t="shared" si="3"/>
        <v>0</v>
      </c>
    </row>
    <row r="56" spans="1:20" ht="18.75" customHeight="1" x14ac:dyDescent="0.2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56"/>
      <c r="M56" s="56"/>
      <c r="N56" s="56"/>
      <c r="O56" s="56"/>
      <c r="P56" s="57"/>
      <c r="Q56" s="55"/>
      <c r="R56" s="55"/>
      <c r="S56" s="71"/>
      <c r="T56" s="72">
        <f>T51+T52+T53+T54+T55</f>
        <v>0</v>
      </c>
    </row>
    <row r="57" spans="1:20" ht="9.75" customHeight="1" x14ac:dyDescent="0.2">
      <c r="A57" s="243" t="s">
        <v>83</v>
      </c>
      <c r="B57" s="255" t="s">
        <v>200</v>
      </c>
      <c r="C57" s="255"/>
      <c r="D57" s="255"/>
      <c r="E57" s="255"/>
      <c r="F57" s="255"/>
      <c r="G57" s="255"/>
      <c r="H57" s="255"/>
      <c r="I57" s="255"/>
      <c r="J57" s="237" t="s">
        <v>201</v>
      </c>
      <c r="K57" s="237"/>
      <c r="L57" s="237"/>
      <c r="M57" s="237"/>
      <c r="N57" s="237"/>
      <c r="O57" s="237"/>
      <c r="P57" s="50"/>
      <c r="Q57" s="50"/>
      <c r="R57" s="50"/>
      <c r="S57" s="50"/>
      <c r="T57" s="69">
        <f>P57+Q57+R57+S57</f>
        <v>0</v>
      </c>
    </row>
    <row r="58" spans="1:20" ht="9.75" customHeight="1" x14ac:dyDescent="0.2">
      <c r="A58" s="223"/>
      <c r="B58" s="219"/>
      <c r="C58" s="219"/>
      <c r="D58" s="219"/>
      <c r="E58" s="219"/>
      <c r="F58" s="219"/>
      <c r="G58" s="219"/>
      <c r="H58" s="219"/>
      <c r="I58" s="219"/>
      <c r="J58" s="238" t="s">
        <v>202</v>
      </c>
      <c r="K58" s="238"/>
      <c r="L58" s="238"/>
      <c r="M58" s="238"/>
      <c r="N58" s="238"/>
      <c r="O58" s="238"/>
      <c r="P58" s="51"/>
      <c r="Q58" s="51"/>
      <c r="R58" s="51"/>
      <c r="S58" s="51"/>
      <c r="T58" s="69">
        <f t="shared" ref="T58:T61" si="4">P58+Q58+R58+S58</f>
        <v>0</v>
      </c>
    </row>
    <row r="59" spans="1:20" ht="9.75" customHeight="1" x14ac:dyDescent="0.2">
      <c r="A59" s="223"/>
      <c r="B59" s="219"/>
      <c r="C59" s="219"/>
      <c r="D59" s="219"/>
      <c r="E59" s="219"/>
      <c r="F59" s="219"/>
      <c r="G59" s="219"/>
      <c r="H59" s="219"/>
      <c r="I59" s="219"/>
      <c r="J59" s="238" t="s">
        <v>203</v>
      </c>
      <c r="K59" s="238"/>
      <c r="L59" s="238"/>
      <c r="M59" s="238"/>
      <c r="N59" s="238"/>
      <c r="O59" s="238"/>
      <c r="P59" s="51">
        <v>30</v>
      </c>
      <c r="Q59" s="51">
        <v>80</v>
      </c>
      <c r="R59" s="51"/>
      <c r="S59" s="51"/>
      <c r="T59" s="69">
        <f t="shared" si="4"/>
        <v>110</v>
      </c>
    </row>
    <row r="60" spans="1:20" ht="9.75" customHeight="1" x14ac:dyDescent="0.2">
      <c r="A60" s="223"/>
      <c r="B60" s="219"/>
      <c r="C60" s="219"/>
      <c r="D60" s="219"/>
      <c r="E60" s="219"/>
      <c r="F60" s="219"/>
      <c r="G60" s="219"/>
      <c r="H60" s="219"/>
      <c r="I60" s="219"/>
      <c r="J60" s="238" t="s">
        <v>204</v>
      </c>
      <c r="K60" s="238"/>
      <c r="L60" s="238"/>
      <c r="M60" s="238"/>
      <c r="N60" s="238"/>
      <c r="O60" s="238"/>
      <c r="P60" s="51"/>
      <c r="Q60" s="51"/>
      <c r="R60" s="51"/>
      <c r="S60" s="51"/>
      <c r="T60" s="69">
        <f t="shared" si="4"/>
        <v>0</v>
      </c>
    </row>
    <row r="61" spans="1:20" ht="78" customHeight="1" x14ac:dyDescent="0.2">
      <c r="A61" s="244"/>
      <c r="B61" s="256"/>
      <c r="C61" s="256"/>
      <c r="D61" s="256"/>
      <c r="E61" s="256"/>
      <c r="F61" s="256"/>
      <c r="G61" s="256"/>
      <c r="H61" s="256"/>
      <c r="I61" s="256"/>
      <c r="J61" s="245" t="s">
        <v>205</v>
      </c>
      <c r="K61" s="245"/>
      <c r="L61" s="245"/>
      <c r="M61" s="245"/>
      <c r="N61" s="245"/>
      <c r="O61" s="245"/>
      <c r="P61" s="52"/>
      <c r="Q61" s="52"/>
      <c r="R61" s="52"/>
      <c r="S61" s="52"/>
      <c r="T61" s="69">
        <f t="shared" si="4"/>
        <v>0</v>
      </c>
    </row>
    <row r="62" spans="1:20" ht="16.5" customHeight="1" x14ac:dyDescent="0.2">
      <c r="A62" s="3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56"/>
      <c r="M62" s="56"/>
      <c r="N62" s="56"/>
      <c r="O62" s="56"/>
      <c r="P62" s="57"/>
      <c r="Q62" s="55"/>
      <c r="R62" s="55"/>
      <c r="S62" s="71"/>
      <c r="T62" s="73">
        <f>T57+T58+T59+T61</f>
        <v>110</v>
      </c>
    </row>
    <row r="63" spans="1:20" ht="18" customHeight="1" x14ac:dyDescent="0.2">
      <c r="A63" s="243" t="s">
        <v>89</v>
      </c>
      <c r="B63" s="249" t="s">
        <v>88</v>
      </c>
      <c r="C63" s="250"/>
      <c r="D63" s="250"/>
      <c r="E63" s="250"/>
      <c r="F63" s="250"/>
      <c r="G63" s="250"/>
      <c r="H63" s="250"/>
      <c r="I63" s="250"/>
      <c r="J63" s="237" t="s">
        <v>206</v>
      </c>
      <c r="K63" s="237"/>
      <c r="L63" s="237"/>
      <c r="M63" s="237"/>
      <c r="N63" s="237"/>
      <c r="O63" s="237"/>
      <c r="P63" s="50">
        <v>3</v>
      </c>
      <c r="Q63" s="50">
        <v>3</v>
      </c>
      <c r="R63" s="50"/>
      <c r="S63" s="50"/>
      <c r="T63" s="74">
        <f>P63+Q63+R63+S63</f>
        <v>6</v>
      </c>
    </row>
    <row r="64" spans="1:20" ht="10.5" customHeight="1" x14ac:dyDescent="0.2">
      <c r="A64" s="223"/>
      <c r="B64" s="251"/>
      <c r="C64" s="252"/>
      <c r="D64" s="252"/>
      <c r="E64" s="252"/>
      <c r="F64" s="252"/>
      <c r="G64" s="252"/>
      <c r="H64" s="252"/>
      <c r="I64" s="252"/>
      <c r="J64" s="238" t="s">
        <v>207</v>
      </c>
      <c r="K64" s="238"/>
      <c r="L64" s="238"/>
      <c r="M64" s="238"/>
      <c r="N64" s="238"/>
      <c r="O64" s="238"/>
      <c r="P64" s="51"/>
      <c r="Q64" s="51"/>
      <c r="R64" s="51"/>
      <c r="S64" s="51"/>
      <c r="T64" s="74">
        <f t="shared" ref="T64:T67" si="5">P64+Q64+R64+S64</f>
        <v>0</v>
      </c>
    </row>
    <row r="65" spans="1:20" ht="10.5" customHeight="1" x14ac:dyDescent="0.2">
      <c r="A65" s="223"/>
      <c r="B65" s="251"/>
      <c r="C65" s="252"/>
      <c r="D65" s="252"/>
      <c r="E65" s="252"/>
      <c r="F65" s="252"/>
      <c r="G65" s="252"/>
      <c r="H65" s="252"/>
      <c r="I65" s="252"/>
      <c r="J65" s="238" t="s">
        <v>208</v>
      </c>
      <c r="K65" s="238"/>
      <c r="L65" s="238"/>
      <c r="M65" s="238"/>
      <c r="N65" s="238"/>
      <c r="O65" s="238"/>
      <c r="P65" s="51"/>
      <c r="Q65" s="51"/>
      <c r="R65" s="51"/>
      <c r="S65" s="51"/>
      <c r="T65" s="74">
        <f t="shared" si="5"/>
        <v>0</v>
      </c>
    </row>
    <row r="66" spans="1:20" ht="10.5" customHeight="1" x14ac:dyDescent="0.2">
      <c r="A66" s="223"/>
      <c r="B66" s="251"/>
      <c r="C66" s="252"/>
      <c r="D66" s="252"/>
      <c r="E66" s="252"/>
      <c r="F66" s="252"/>
      <c r="G66" s="252"/>
      <c r="H66" s="252"/>
      <c r="I66" s="252"/>
      <c r="J66" s="238" t="s">
        <v>209</v>
      </c>
      <c r="K66" s="238"/>
      <c r="L66" s="238"/>
      <c r="M66" s="238"/>
      <c r="N66" s="238"/>
      <c r="O66" s="238"/>
      <c r="P66" s="51"/>
      <c r="Q66" s="51"/>
      <c r="R66" s="51"/>
      <c r="S66" s="51"/>
      <c r="T66" s="74">
        <f t="shared" si="5"/>
        <v>0</v>
      </c>
    </row>
    <row r="67" spans="1:20" ht="13.5" customHeight="1" x14ac:dyDescent="0.2">
      <c r="A67" s="244"/>
      <c r="B67" s="253"/>
      <c r="C67" s="254"/>
      <c r="D67" s="254"/>
      <c r="E67" s="254"/>
      <c r="F67" s="254"/>
      <c r="G67" s="254"/>
      <c r="H67" s="254"/>
      <c r="I67" s="254"/>
      <c r="J67" s="239" t="s">
        <v>210</v>
      </c>
      <c r="K67" s="239"/>
      <c r="L67" s="239"/>
      <c r="M67" s="239"/>
      <c r="N67" s="239"/>
      <c r="O67" s="239"/>
      <c r="P67" s="52"/>
      <c r="Q67" s="52"/>
      <c r="R67" s="52"/>
      <c r="S67" s="52"/>
      <c r="T67" s="74">
        <f t="shared" si="5"/>
        <v>0</v>
      </c>
    </row>
    <row r="68" spans="1:20" ht="21.75" customHeight="1" x14ac:dyDescent="0.2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56"/>
      <c r="M68" s="56"/>
      <c r="N68" s="56"/>
      <c r="O68" s="56"/>
      <c r="P68" s="57"/>
      <c r="Q68" s="55"/>
      <c r="R68" s="55"/>
      <c r="S68" s="71"/>
      <c r="T68" s="114">
        <f>T63+T64+T66+T67</f>
        <v>6</v>
      </c>
    </row>
    <row r="69" spans="1:20" ht="12" customHeight="1" x14ac:dyDescent="0.2">
      <c r="A69" s="243" t="s">
        <v>87</v>
      </c>
      <c r="B69" s="255" t="s">
        <v>90</v>
      </c>
      <c r="C69" s="255"/>
      <c r="D69" s="255"/>
      <c r="E69" s="255"/>
      <c r="F69" s="255"/>
      <c r="G69" s="255"/>
      <c r="H69" s="255"/>
      <c r="I69" s="255"/>
      <c r="J69" s="237" t="s">
        <v>207</v>
      </c>
      <c r="K69" s="237"/>
      <c r="L69" s="237"/>
      <c r="M69" s="237"/>
      <c r="N69" s="237"/>
      <c r="O69" s="237"/>
      <c r="P69" s="50"/>
      <c r="Q69" s="50"/>
      <c r="R69" s="50"/>
      <c r="S69" s="69"/>
      <c r="T69" s="115">
        <f>P69+Q69+R69+S69</f>
        <v>0</v>
      </c>
    </row>
    <row r="70" spans="1:20" ht="12" customHeight="1" x14ac:dyDescent="0.2">
      <c r="A70" s="223"/>
      <c r="B70" s="219"/>
      <c r="C70" s="219"/>
      <c r="D70" s="219"/>
      <c r="E70" s="219"/>
      <c r="F70" s="219"/>
      <c r="G70" s="219"/>
      <c r="H70" s="219"/>
      <c r="I70" s="219"/>
      <c r="J70" s="238" t="s">
        <v>211</v>
      </c>
      <c r="K70" s="238"/>
      <c r="L70" s="238"/>
      <c r="M70" s="238"/>
      <c r="N70" s="238"/>
      <c r="O70" s="238"/>
      <c r="P70" s="16"/>
      <c r="Q70" s="116"/>
      <c r="R70" s="51"/>
      <c r="S70" s="117"/>
      <c r="T70" s="115">
        <f t="shared" ref="T70:T72" si="6">P70+Q70+R70+S70</f>
        <v>0</v>
      </c>
    </row>
    <row r="71" spans="1:20" ht="12" customHeight="1" x14ac:dyDescent="0.2">
      <c r="A71" s="223"/>
      <c r="B71" s="219"/>
      <c r="C71" s="219"/>
      <c r="D71" s="219"/>
      <c r="E71" s="219"/>
      <c r="F71" s="219"/>
      <c r="G71" s="219"/>
      <c r="H71" s="219"/>
      <c r="I71" s="219"/>
      <c r="J71" s="238" t="s">
        <v>203</v>
      </c>
      <c r="K71" s="238"/>
      <c r="L71" s="238"/>
      <c r="M71" s="238"/>
      <c r="N71" s="238"/>
      <c r="O71" s="238"/>
      <c r="P71" s="16"/>
      <c r="Q71" s="116"/>
      <c r="R71" s="51"/>
      <c r="S71" s="117"/>
      <c r="T71" s="115">
        <f t="shared" si="6"/>
        <v>0</v>
      </c>
    </row>
    <row r="72" spans="1:20" ht="12" customHeight="1" x14ac:dyDescent="0.2">
      <c r="A72" s="244"/>
      <c r="B72" s="256"/>
      <c r="C72" s="256"/>
      <c r="D72" s="256"/>
      <c r="E72" s="256"/>
      <c r="F72" s="256"/>
      <c r="G72" s="256"/>
      <c r="H72" s="256"/>
      <c r="I72" s="256"/>
      <c r="J72" s="239" t="s">
        <v>212</v>
      </c>
      <c r="K72" s="239"/>
      <c r="L72" s="239"/>
      <c r="M72" s="239"/>
      <c r="N72" s="239"/>
      <c r="O72" s="239"/>
      <c r="P72" s="96"/>
      <c r="Q72" s="118"/>
      <c r="R72" s="52"/>
      <c r="S72" s="119"/>
      <c r="T72" s="115">
        <f t="shared" si="6"/>
        <v>0</v>
      </c>
    </row>
    <row r="73" spans="1:20" ht="9.75" customHeight="1" x14ac:dyDescent="0.2">
      <c r="A73" s="37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56"/>
      <c r="M73" s="56"/>
      <c r="N73" s="56"/>
      <c r="O73" s="56"/>
      <c r="P73" s="97"/>
      <c r="Q73" s="120"/>
      <c r="R73" s="121"/>
      <c r="S73" s="121"/>
      <c r="T73" s="122">
        <f>T69+T70+T71+T72</f>
        <v>0</v>
      </c>
    </row>
    <row r="74" spans="1:20" ht="21.75" customHeight="1" x14ac:dyDescent="0.2">
      <c r="A74" s="246" t="s">
        <v>213</v>
      </c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8"/>
      <c r="T74" s="123">
        <f>T44+T50+T62+T73</f>
        <v>660</v>
      </c>
    </row>
    <row r="75" spans="1:20" ht="9" customHeight="1" x14ac:dyDescent="0.2">
      <c r="A75" s="364" t="s">
        <v>214</v>
      </c>
      <c r="B75" s="365"/>
      <c r="C75" s="366"/>
      <c r="D75" s="370" t="s">
        <v>14</v>
      </c>
      <c r="E75" s="371"/>
      <c r="F75" s="371"/>
      <c r="G75" s="371"/>
      <c r="H75" s="365"/>
      <c r="I75" s="365"/>
      <c r="J75" s="365"/>
      <c r="K75" s="366"/>
      <c r="L75" s="220" t="s">
        <v>185</v>
      </c>
      <c r="M75" s="220"/>
      <c r="N75" s="226" t="s">
        <v>186</v>
      </c>
      <c r="O75" s="226"/>
      <c r="P75" s="240" t="s">
        <v>187</v>
      </c>
      <c r="Q75" s="240"/>
      <c r="R75" s="241" t="s">
        <v>188</v>
      </c>
      <c r="S75" s="242"/>
      <c r="T75" s="314" t="s">
        <v>215</v>
      </c>
    </row>
    <row r="76" spans="1:20" ht="17.25" customHeight="1" x14ac:dyDescent="0.2">
      <c r="A76" s="367"/>
      <c r="B76" s="368"/>
      <c r="C76" s="369"/>
      <c r="D76" s="372"/>
      <c r="E76" s="368"/>
      <c r="F76" s="368"/>
      <c r="G76" s="368"/>
      <c r="H76" s="368"/>
      <c r="I76" s="368"/>
      <c r="J76" s="368"/>
      <c r="K76" s="369"/>
      <c r="L76" s="47" t="s">
        <v>216</v>
      </c>
      <c r="M76" s="47" t="s">
        <v>217</v>
      </c>
      <c r="N76" s="47" t="s">
        <v>216</v>
      </c>
      <c r="O76" s="47" t="s">
        <v>217</v>
      </c>
      <c r="P76" s="18" t="s">
        <v>216</v>
      </c>
      <c r="Q76" s="18" t="s">
        <v>217</v>
      </c>
      <c r="R76" s="18" t="s">
        <v>216</v>
      </c>
      <c r="S76" s="18" t="s">
        <v>217</v>
      </c>
      <c r="T76" s="315"/>
    </row>
    <row r="77" spans="1:20" ht="11.25" customHeight="1" x14ac:dyDescent="0.2">
      <c r="A77" s="223" t="s">
        <v>71</v>
      </c>
      <c r="B77" s="360" t="s">
        <v>218</v>
      </c>
      <c r="C77" s="361"/>
      <c r="D77" s="209" t="s">
        <v>219</v>
      </c>
      <c r="E77" s="209"/>
      <c r="F77" s="209"/>
      <c r="G77" s="209"/>
      <c r="H77" s="209"/>
      <c r="I77" s="209"/>
      <c r="J77" s="209"/>
      <c r="K77" s="209"/>
      <c r="L77" s="98">
        <v>70</v>
      </c>
      <c r="M77" s="98"/>
      <c r="N77" s="99"/>
      <c r="O77" s="99"/>
      <c r="P77" s="51"/>
      <c r="Q77" s="51"/>
      <c r="R77" s="51"/>
      <c r="S77" s="51"/>
      <c r="T77" s="117">
        <f>L77+M77+N77+O77+P77+Q77+R77+S77</f>
        <v>70</v>
      </c>
    </row>
    <row r="78" spans="1:20" ht="11.25" customHeight="1" x14ac:dyDescent="0.2">
      <c r="A78" s="223"/>
      <c r="B78" s="362"/>
      <c r="C78" s="363"/>
      <c r="D78" s="209" t="s">
        <v>220</v>
      </c>
      <c r="E78" s="209"/>
      <c r="F78" s="209"/>
      <c r="G78" s="209"/>
      <c r="H78" s="209"/>
      <c r="I78" s="209"/>
      <c r="J78" s="209"/>
      <c r="K78" s="209"/>
      <c r="L78" s="98"/>
      <c r="M78" s="98"/>
      <c r="N78" s="99"/>
      <c r="O78" s="99"/>
      <c r="P78" s="51"/>
      <c r="Q78" s="51"/>
      <c r="R78" s="51"/>
      <c r="S78" s="51"/>
      <c r="T78" s="117">
        <f t="shared" ref="T78:T81" si="7">L78+M78+N78+O78+P78+Q78+R78+S78</f>
        <v>0</v>
      </c>
    </row>
    <row r="79" spans="1:20" ht="11.25" customHeight="1" x14ac:dyDescent="0.2">
      <c r="A79" s="223"/>
      <c r="B79" s="362"/>
      <c r="C79" s="363"/>
      <c r="D79" s="209" t="s">
        <v>221</v>
      </c>
      <c r="E79" s="209"/>
      <c r="F79" s="209"/>
      <c r="G79" s="209"/>
      <c r="H79" s="209"/>
      <c r="I79" s="209"/>
      <c r="J79" s="209"/>
      <c r="K79" s="209"/>
      <c r="L79" s="98"/>
      <c r="M79" s="98"/>
      <c r="N79" s="99"/>
      <c r="O79" s="99"/>
      <c r="P79" s="51"/>
      <c r="Q79" s="51"/>
      <c r="R79" s="51"/>
      <c r="S79" s="51"/>
      <c r="T79" s="117">
        <f t="shared" si="7"/>
        <v>0</v>
      </c>
    </row>
    <row r="80" spans="1:20" ht="11.25" customHeight="1" x14ac:dyDescent="0.2">
      <c r="A80" s="223"/>
      <c r="B80" s="362"/>
      <c r="C80" s="363"/>
      <c r="D80" s="209" t="s">
        <v>222</v>
      </c>
      <c r="E80" s="209"/>
      <c r="F80" s="209"/>
      <c r="G80" s="209"/>
      <c r="H80" s="209"/>
      <c r="I80" s="209"/>
      <c r="J80" s="209"/>
      <c r="K80" s="209"/>
      <c r="L80" s="98"/>
      <c r="M80" s="98"/>
      <c r="N80" s="99"/>
      <c r="O80" s="99"/>
      <c r="P80" s="51"/>
      <c r="Q80" s="51"/>
      <c r="R80" s="51"/>
      <c r="S80" s="51"/>
      <c r="T80" s="117">
        <f t="shared" si="7"/>
        <v>0</v>
      </c>
    </row>
    <row r="81" spans="1:20" ht="11.25" customHeight="1" x14ac:dyDescent="0.2">
      <c r="A81" s="223"/>
      <c r="B81" s="362"/>
      <c r="C81" s="363"/>
      <c r="D81" s="219" t="s">
        <v>223</v>
      </c>
      <c r="E81" s="219"/>
      <c r="F81" s="219"/>
      <c r="G81" s="219"/>
      <c r="H81" s="219"/>
      <c r="I81" s="219"/>
      <c r="J81" s="219"/>
      <c r="K81" s="219"/>
      <c r="L81" s="98"/>
      <c r="M81" s="98"/>
      <c r="N81" s="16"/>
      <c r="O81" s="16"/>
      <c r="P81" s="16"/>
      <c r="Q81" s="116"/>
      <c r="R81" s="51"/>
      <c r="S81" s="51"/>
      <c r="T81" s="117">
        <f t="shared" si="7"/>
        <v>0</v>
      </c>
    </row>
    <row r="82" spans="1:20" ht="23.25" customHeight="1" x14ac:dyDescent="0.2">
      <c r="A82" s="76"/>
      <c r="B82" s="77"/>
      <c r="C82" s="78"/>
      <c r="D82" s="40"/>
      <c r="E82" s="41"/>
      <c r="F82" s="41"/>
      <c r="G82" s="41"/>
      <c r="H82" s="41"/>
      <c r="I82" s="41"/>
      <c r="J82" s="41"/>
      <c r="K82" s="41"/>
      <c r="L82" s="41"/>
      <c r="M82" s="100"/>
      <c r="N82" s="97"/>
      <c r="O82" s="97"/>
      <c r="P82" s="97"/>
      <c r="Q82" s="120"/>
      <c r="R82" s="124"/>
      <c r="S82" s="125"/>
      <c r="T82" s="70">
        <f>T77+T78+T79+T80+T81</f>
        <v>70</v>
      </c>
    </row>
    <row r="83" spans="1:20" ht="15" customHeight="1" x14ac:dyDescent="0.2">
      <c r="A83" s="243" t="s">
        <v>79</v>
      </c>
      <c r="B83" s="324" t="s">
        <v>224</v>
      </c>
      <c r="C83" s="325"/>
      <c r="D83" s="298" t="s">
        <v>225</v>
      </c>
      <c r="E83" s="298"/>
      <c r="F83" s="298"/>
      <c r="G83" s="298"/>
      <c r="H83" s="298"/>
      <c r="I83" s="298"/>
      <c r="J83" s="298"/>
      <c r="K83" s="298"/>
      <c r="L83" s="101">
        <v>15</v>
      </c>
      <c r="M83" s="101"/>
      <c r="N83" s="102"/>
      <c r="O83" s="102"/>
      <c r="P83" s="102"/>
      <c r="Q83" s="126"/>
      <c r="R83" s="126"/>
      <c r="S83" s="126"/>
      <c r="T83" s="69">
        <f>L83+M83+N83+O83+P83+Q83+R83+S83</f>
        <v>15</v>
      </c>
    </row>
    <row r="84" spans="1:20" ht="15" customHeight="1" x14ac:dyDescent="0.2">
      <c r="A84" s="223"/>
      <c r="B84" s="331"/>
      <c r="C84" s="331"/>
      <c r="D84" s="209" t="s">
        <v>226</v>
      </c>
      <c r="E84" s="209"/>
      <c r="F84" s="209"/>
      <c r="G84" s="209"/>
      <c r="H84" s="209"/>
      <c r="I84" s="209"/>
      <c r="J84" s="209"/>
      <c r="K84" s="209"/>
      <c r="L84" s="98"/>
      <c r="M84" s="98"/>
      <c r="N84" s="16"/>
      <c r="O84" s="16"/>
      <c r="P84" s="16"/>
      <c r="Q84" s="116"/>
      <c r="R84" s="116"/>
      <c r="S84" s="116"/>
      <c r="T84" s="69">
        <f t="shared" ref="T84:T87" si="8">L84+M84+N84+O84+P84+Q84+R84+S84</f>
        <v>0</v>
      </c>
    </row>
    <row r="85" spans="1:20" ht="15" customHeight="1" x14ac:dyDescent="0.2">
      <c r="A85" s="223"/>
      <c r="B85" s="331"/>
      <c r="C85" s="331"/>
      <c r="D85" s="209" t="s">
        <v>227</v>
      </c>
      <c r="E85" s="209"/>
      <c r="F85" s="209"/>
      <c r="G85" s="209"/>
      <c r="H85" s="209"/>
      <c r="I85" s="209"/>
      <c r="J85" s="209"/>
      <c r="K85" s="209"/>
      <c r="L85" s="98"/>
      <c r="M85" s="98"/>
      <c r="N85" s="16"/>
      <c r="O85" s="16"/>
      <c r="P85" s="16"/>
      <c r="Q85" s="116"/>
      <c r="R85" s="116"/>
      <c r="S85" s="116"/>
      <c r="T85" s="69">
        <f t="shared" si="8"/>
        <v>0</v>
      </c>
    </row>
    <row r="86" spans="1:20" ht="15" customHeight="1" x14ac:dyDescent="0.2">
      <c r="A86" s="223"/>
      <c r="B86" s="331"/>
      <c r="C86" s="331"/>
      <c r="D86" s="209" t="s">
        <v>228</v>
      </c>
      <c r="E86" s="209"/>
      <c r="F86" s="209"/>
      <c r="G86" s="209"/>
      <c r="H86" s="209"/>
      <c r="I86" s="209"/>
      <c r="J86" s="209"/>
      <c r="K86" s="209"/>
      <c r="L86" s="98"/>
      <c r="M86" s="98"/>
      <c r="N86" s="16"/>
      <c r="O86" s="16"/>
      <c r="P86" s="16"/>
      <c r="Q86" s="116"/>
      <c r="R86" s="116"/>
      <c r="S86" s="116"/>
      <c r="T86" s="69">
        <f t="shared" si="8"/>
        <v>0</v>
      </c>
    </row>
    <row r="87" spans="1:20" ht="15" customHeight="1" x14ac:dyDescent="0.2">
      <c r="A87" s="244"/>
      <c r="B87" s="326"/>
      <c r="C87" s="326"/>
      <c r="D87" s="256" t="s">
        <v>229</v>
      </c>
      <c r="E87" s="256"/>
      <c r="F87" s="256"/>
      <c r="G87" s="256"/>
      <c r="H87" s="256"/>
      <c r="I87" s="256"/>
      <c r="J87" s="256"/>
      <c r="K87" s="256"/>
      <c r="L87" s="103"/>
      <c r="M87" s="103"/>
      <c r="N87" s="96"/>
      <c r="O87" s="96"/>
      <c r="P87" s="96"/>
      <c r="Q87" s="118"/>
      <c r="R87" s="118"/>
      <c r="S87" s="118"/>
      <c r="T87" s="69">
        <f t="shared" si="8"/>
        <v>0</v>
      </c>
    </row>
    <row r="88" spans="1:20" ht="19.5" customHeight="1" x14ac:dyDescent="0.2">
      <c r="A88" s="76"/>
      <c r="B88" s="77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97"/>
      <c r="O88" s="97"/>
      <c r="P88" s="97"/>
      <c r="Q88" s="120"/>
      <c r="R88" s="124"/>
      <c r="S88" s="125"/>
      <c r="T88" s="127">
        <f>T83+T84+T85+T86+T87</f>
        <v>15</v>
      </c>
    </row>
    <row r="89" spans="1:20" ht="12" customHeight="1" x14ac:dyDescent="0.2">
      <c r="A89" s="243" t="s">
        <v>81</v>
      </c>
      <c r="B89" s="324" t="s">
        <v>100</v>
      </c>
      <c r="C89" s="324"/>
      <c r="D89" s="298" t="s">
        <v>230</v>
      </c>
      <c r="E89" s="298"/>
      <c r="F89" s="298"/>
      <c r="G89" s="298"/>
      <c r="H89" s="298"/>
      <c r="I89" s="298"/>
      <c r="J89" s="298"/>
      <c r="K89" s="298"/>
      <c r="L89" s="101">
        <v>15</v>
      </c>
      <c r="M89" s="101"/>
      <c r="N89" s="102"/>
      <c r="O89" s="102"/>
      <c r="P89" s="102"/>
      <c r="Q89" s="126"/>
      <c r="R89" s="126"/>
      <c r="S89" s="126"/>
      <c r="T89" s="128">
        <f>L89+M89+N89+O89+P89+Q89+R89+S89</f>
        <v>15</v>
      </c>
    </row>
    <row r="90" spans="1:20" ht="12" customHeight="1" x14ac:dyDescent="0.2">
      <c r="A90" s="223"/>
      <c r="B90" s="224"/>
      <c r="C90" s="224"/>
      <c r="D90" s="209" t="s">
        <v>231</v>
      </c>
      <c r="E90" s="209"/>
      <c r="F90" s="209"/>
      <c r="G90" s="209"/>
      <c r="H90" s="209"/>
      <c r="I90" s="209"/>
      <c r="J90" s="209"/>
      <c r="K90" s="209"/>
      <c r="L90" s="98"/>
      <c r="M90" s="98"/>
      <c r="N90" s="16"/>
      <c r="O90" s="16"/>
      <c r="P90" s="16"/>
      <c r="Q90" s="116"/>
      <c r="R90" s="116"/>
      <c r="S90" s="116"/>
      <c r="T90" s="128">
        <f t="shared" ref="T90:T92" si="9">L90+M90+N90+O90+P90+Q90+R90+S90</f>
        <v>0</v>
      </c>
    </row>
    <row r="91" spans="1:20" ht="12" customHeight="1" x14ac:dyDescent="0.2">
      <c r="A91" s="223"/>
      <c r="B91" s="224"/>
      <c r="C91" s="224"/>
      <c r="D91" s="209" t="s">
        <v>232</v>
      </c>
      <c r="E91" s="209"/>
      <c r="F91" s="209"/>
      <c r="G91" s="209"/>
      <c r="H91" s="209"/>
      <c r="I91" s="209"/>
      <c r="J91" s="209"/>
      <c r="K91" s="209"/>
      <c r="L91" s="98"/>
      <c r="M91" s="98"/>
      <c r="N91" s="16"/>
      <c r="O91" s="16"/>
      <c r="P91" s="16"/>
      <c r="Q91" s="116"/>
      <c r="R91" s="116"/>
      <c r="S91" s="116"/>
      <c r="T91" s="128">
        <f t="shared" si="9"/>
        <v>0</v>
      </c>
    </row>
    <row r="92" spans="1:20" ht="12" customHeight="1" x14ac:dyDescent="0.2">
      <c r="A92" s="244"/>
      <c r="B92" s="359"/>
      <c r="C92" s="359"/>
      <c r="D92" s="286" t="s">
        <v>233</v>
      </c>
      <c r="E92" s="286"/>
      <c r="F92" s="286"/>
      <c r="G92" s="286"/>
      <c r="H92" s="286"/>
      <c r="I92" s="286"/>
      <c r="J92" s="286"/>
      <c r="K92" s="286"/>
      <c r="L92" s="104"/>
      <c r="M92" s="104"/>
      <c r="N92" s="96"/>
      <c r="O92" s="96"/>
      <c r="P92" s="96"/>
      <c r="Q92" s="118"/>
      <c r="R92" s="118"/>
      <c r="S92" s="118"/>
      <c r="T92" s="128">
        <f t="shared" si="9"/>
        <v>0</v>
      </c>
    </row>
    <row r="93" spans="1:20" ht="12" customHeight="1" x14ac:dyDescent="0.2">
      <c r="A93" s="37"/>
      <c r="B93" s="80"/>
      <c r="C93" s="39"/>
      <c r="D93" s="81"/>
      <c r="E93" s="81"/>
      <c r="F93" s="81"/>
      <c r="G93" s="81"/>
      <c r="H93" s="81"/>
      <c r="I93" s="105"/>
      <c r="J93" s="105"/>
      <c r="K93" s="105"/>
      <c r="L93" s="81"/>
      <c r="M93" s="81"/>
      <c r="N93" s="97"/>
      <c r="O93" s="97"/>
      <c r="P93" s="97"/>
      <c r="Q93" s="75"/>
      <c r="R93" s="121"/>
      <c r="S93" s="124"/>
      <c r="T93" s="129">
        <f>T89+T90+T91+T92</f>
        <v>15</v>
      </c>
    </row>
    <row r="94" spans="1:20" ht="12.75" customHeight="1" x14ac:dyDescent="0.2">
      <c r="A94" s="296" t="s">
        <v>87</v>
      </c>
      <c r="B94" s="358" t="s">
        <v>101</v>
      </c>
      <c r="C94" s="358"/>
      <c r="D94" s="298" t="s">
        <v>234</v>
      </c>
      <c r="E94" s="298"/>
      <c r="F94" s="298"/>
      <c r="G94" s="298"/>
      <c r="H94" s="298"/>
      <c r="I94" s="298"/>
      <c r="J94" s="298"/>
      <c r="K94" s="298"/>
      <c r="L94" s="101"/>
      <c r="M94" s="101"/>
      <c r="N94" s="102"/>
      <c r="O94" s="102"/>
      <c r="P94" s="102"/>
      <c r="Q94" s="126"/>
      <c r="R94" s="126"/>
      <c r="S94" s="126"/>
      <c r="T94" s="128">
        <f>L94+M94+N94+O94+P94+Q94+R94+S94</f>
        <v>0</v>
      </c>
    </row>
    <row r="95" spans="1:20" ht="12.75" customHeight="1" x14ac:dyDescent="0.2">
      <c r="A95" s="297"/>
      <c r="B95" s="343"/>
      <c r="C95" s="343"/>
      <c r="D95" s="286"/>
      <c r="E95" s="286"/>
      <c r="F95" s="286"/>
      <c r="G95" s="286"/>
      <c r="H95" s="286"/>
      <c r="I95" s="286"/>
      <c r="J95" s="286"/>
      <c r="K95" s="286"/>
      <c r="L95" s="106"/>
      <c r="M95" s="106"/>
      <c r="N95" s="96"/>
      <c r="O95" s="96"/>
      <c r="P95" s="96"/>
      <c r="Q95" s="118"/>
      <c r="R95" s="118"/>
      <c r="S95" s="118"/>
      <c r="T95" s="130"/>
    </row>
    <row r="96" spans="1:20" ht="0.75" customHeight="1" x14ac:dyDescent="0.2">
      <c r="A96" s="82"/>
      <c r="B96" s="83"/>
      <c r="C96" s="8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97"/>
      <c r="O96" s="97"/>
      <c r="P96" s="97"/>
      <c r="Q96" s="75"/>
      <c r="R96" s="131"/>
      <c r="S96" s="131"/>
      <c r="T96" s="132">
        <f>T94+T95</f>
        <v>0</v>
      </c>
    </row>
    <row r="97" spans="1:20" ht="15.75" customHeight="1" x14ac:dyDescent="0.2">
      <c r="A97" s="85" t="s">
        <v>89</v>
      </c>
      <c r="B97" s="299" t="s">
        <v>102</v>
      </c>
      <c r="C97" s="300"/>
      <c r="D97" s="301" t="s">
        <v>235</v>
      </c>
      <c r="E97" s="301"/>
      <c r="F97" s="301"/>
      <c r="G97" s="301"/>
      <c r="H97" s="301"/>
      <c r="I97" s="301"/>
      <c r="J97" s="301"/>
      <c r="K97" s="301"/>
      <c r="L97" s="107"/>
      <c r="M97" s="107"/>
      <c r="N97" s="108"/>
      <c r="O97" s="108"/>
      <c r="P97" s="108"/>
      <c r="Q97" s="133"/>
      <c r="R97" s="133"/>
      <c r="S97" s="133"/>
      <c r="T97" s="134">
        <f>L97+M97+N97+O97+P97+Q97+R97+S97</f>
        <v>0</v>
      </c>
    </row>
    <row r="98" spans="1:20" ht="12.75" customHeight="1" x14ac:dyDescent="0.2">
      <c r="A98" s="302" t="s">
        <v>236</v>
      </c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89"/>
      <c r="T98" s="134">
        <f>T82+T88+T93+T94+T97</f>
        <v>100</v>
      </c>
    </row>
    <row r="99" spans="1:20" ht="24" customHeight="1" x14ac:dyDescent="0.2">
      <c r="A99" s="304" t="s">
        <v>237</v>
      </c>
      <c r="B99" s="305"/>
      <c r="C99" s="305"/>
      <c r="D99" s="305"/>
      <c r="E99" s="305"/>
      <c r="F99" s="306"/>
      <c r="G99" s="307" t="s">
        <v>184</v>
      </c>
      <c r="H99" s="216"/>
      <c r="I99" s="216"/>
      <c r="J99" s="216"/>
      <c r="K99" s="216"/>
      <c r="L99" s="216"/>
      <c r="M99" s="216"/>
      <c r="N99" s="216"/>
      <c r="O99" s="216"/>
      <c r="P99" s="50" t="s">
        <v>185</v>
      </c>
      <c r="Q99" s="50" t="s">
        <v>186</v>
      </c>
      <c r="R99" s="50" t="s">
        <v>187</v>
      </c>
      <c r="S99" s="50" t="s">
        <v>188</v>
      </c>
      <c r="T99" s="69" t="s">
        <v>165</v>
      </c>
    </row>
    <row r="100" spans="1:20" ht="12" customHeight="1" x14ac:dyDescent="0.2">
      <c r="A100" s="19" t="s">
        <v>238</v>
      </c>
      <c r="B100" s="308" t="s">
        <v>239</v>
      </c>
      <c r="C100" s="257"/>
      <c r="D100" s="257"/>
      <c r="E100" s="257"/>
      <c r="F100" s="257"/>
      <c r="G100" s="257" t="s">
        <v>240</v>
      </c>
      <c r="H100" s="257"/>
      <c r="I100" s="257"/>
      <c r="J100" s="257"/>
      <c r="K100" s="257"/>
      <c r="L100" s="257"/>
      <c r="M100" s="257"/>
      <c r="N100" s="257"/>
      <c r="O100" s="257"/>
      <c r="P100" s="16">
        <v>20</v>
      </c>
      <c r="Q100" s="116">
        <v>20</v>
      </c>
      <c r="R100" s="116"/>
      <c r="S100" s="116"/>
      <c r="T100" s="135">
        <f>P100+Q100+R100+S100</f>
        <v>40</v>
      </c>
    </row>
    <row r="101" spans="1:20" ht="9.75" customHeight="1" x14ac:dyDescent="0.2">
      <c r="A101" s="223" t="s">
        <v>241</v>
      </c>
      <c r="B101" s="262" t="s">
        <v>242</v>
      </c>
      <c r="C101" s="263"/>
      <c r="D101" s="263"/>
      <c r="E101" s="263"/>
      <c r="F101" s="263"/>
      <c r="G101" s="257" t="s">
        <v>243</v>
      </c>
      <c r="H101" s="257"/>
      <c r="I101" s="257"/>
      <c r="J101" s="257"/>
      <c r="K101" s="257"/>
      <c r="L101" s="257"/>
      <c r="M101" s="257"/>
      <c r="N101" s="257"/>
      <c r="O101" s="257"/>
      <c r="P101" s="16">
        <v>20</v>
      </c>
      <c r="Q101" s="116"/>
      <c r="R101" s="116"/>
      <c r="S101" s="116"/>
      <c r="T101" s="135">
        <f t="shared" ref="T101:T103" si="10">P101+Q101+R101+S101</f>
        <v>20</v>
      </c>
    </row>
    <row r="102" spans="1:20" ht="9.75" customHeight="1" x14ac:dyDescent="0.2">
      <c r="A102" s="223"/>
      <c r="B102" s="263"/>
      <c r="C102" s="263"/>
      <c r="D102" s="263"/>
      <c r="E102" s="263"/>
      <c r="F102" s="263"/>
      <c r="G102" s="257" t="s">
        <v>244</v>
      </c>
      <c r="H102" s="257"/>
      <c r="I102" s="257"/>
      <c r="J102" s="257"/>
      <c r="K102" s="257"/>
      <c r="L102" s="257"/>
      <c r="M102" s="257"/>
      <c r="N102" s="257"/>
      <c r="O102" s="257"/>
      <c r="P102" s="16"/>
      <c r="Q102" s="116"/>
      <c r="R102" s="116"/>
      <c r="S102" s="116"/>
      <c r="T102" s="135">
        <f t="shared" si="10"/>
        <v>0</v>
      </c>
    </row>
    <row r="103" spans="1:20" ht="9.75" customHeight="1" x14ac:dyDescent="0.2">
      <c r="A103" s="223"/>
      <c r="B103" s="263"/>
      <c r="C103" s="263"/>
      <c r="D103" s="263"/>
      <c r="E103" s="263"/>
      <c r="F103" s="263"/>
      <c r="G103" s="257" t="s">
        <v>245</v>
      </c>
      <c r="H103" s="257"/>
      <c r="I103" s="257"/>
      <c r="J103" s="257"/>
      <c r="K103" s="257"/>
      <c r="L103" s="257"/>
      <c r="M103" s="257"/>
      <c r="N103" s="257"/>
      <c r="O103" s="257"/>
      <c r="P103" s="16"/>
      <c r="Q103" s="116"/>
      <c r="R103" s="116"/>
      <c r="S103" s="116"/>
      <c r="T103" s="135">
        <f t="shared" si="10"/>
        <v>0</v>
      </c>
    </row>
    <row r="104" spans="1:20" ht="9" customHeight="1" x14ac:dyDescent="0.2">
      <c r="A104" s="19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23"/>
      <c r="M104" s="23"/>
      <c r="N104" s="23"/>
      <c r="O104" s="23"/>
      <c r="P104" s="16"/>
      <c r="Q104" s="116"/>
      <c r="R104" s="136"/>
      <c r="S104" s="136"/>
      <c r="T104" s="137">
        <f>T100+T101+T102+T103</f>
        <v>60</v>
      </c>
    </row>
    <row r="105" spans="1:20" ht="9.75" customHeight="1" x14ac:dyDescent="0.2">
      <c r="A105" s="223" t="s">
        <v>246</v>
      </c>
      <c r="B105" s="262" t="s">
        <v>247</v>
      </c>
      <c r="C105" s="263"/>
      <c r="D105" s="263"/>
      <c r="E105" s="263"/>
      <c r="F105" s="263"/>
      <c r="G105" s="238" t="s">
        <v>248</v>
      </c>
      <c r="H105" s="238"/>
      <c r="I105" s="238"/>
      <c r="J105" s="238"/>
      <c r="K105" s="238"/>
      <c r="L105" s="238"/>
      <c r="M105" s="238"/>
      <c r="N105" s="238"/>
      <c r="O105" s="238"/>
      <c r="P105" s="16"/>
      <c r="Q105" s="116"/>
      <c r="R105" s="116"/>
      <c r="S105" s="116"/>
      <c r="T105" s="135">
        <f>P105+Q105+R105+S105</f>
        <v>0</v>
      </c>
    </row>
    <row r="106" spans="1:20" ht="9.75" customHeight="1" x14ac:dyDescent="0.2">
      <c r="A106" s="223"/>
      <c r="B106" s="263"/>
      <c r="C106" s="263"/>
      <c r="D106" s="263"/>
      <c r="E106" s="263"/>
      <c r="F106" s="263"/>
      <c r="G106" s="238" t="s">
        <v>249</v>
      </c>
      <c r="H106" s="238"/>
      <c r="I106" s="238"/>
      <c r="J106" s="238"/>
      <c r="K106" s="238"/>
      <c r="L106" s="238"/>
      <c r="M106" s="238"/>
      <c r="N106" s="238"/>
      <c r="O106" s="238"/>
      <c r="P106" s="16"/>
      <c r="Q106" s="116"/>
      <c r="R106" s="116"/>
      <c r="S106" s="116"/>
      <c r="T106" s="135">
        <f t="shared" ref="T106:T112" si="11">P106+Q106+R106+S106</f>
        <v>0</v>
      </c>
    </row>
    <row r="107" spans="1:20" ht="9.75" customHeight="1" x14ac:dyDescent="0.2">
      <c r="A107" s="223"/>
      <c r="B107" s="263"/>
      <c r="C107" s="263"/>
      <c r="D107" s="263"/>
      <c r="E107" s="263"/>
      <c r="F107" s="263"/>
      <c r="G107" s="238" t="s">
        <v>250</v>
      </c>
      <c r="H107" s="238"/>
      <c r="I107" s="238"/>
      <c r="J107" s="238"/>
      <c r="K107" s="238"/>
      <c r="L107" s="238"/>
      <c r="M107" s="238"/>
      <c r="N107" s="238"/>
      <c r="O107" s="238"/>
      <c r="P107" s="16"/>
      <c r="Q107" s="116"/>
      <c r="R107" s="116"/>
      <c r="S107" s="116"/>
      <c r="T107" s="135">
        <f t="shared" si="11"/>
        <v>0</v>
      </c>
    </row>
    <row r="108" spans="1:20" ht="9.75" customHeight="1" x14ac:dyDescent="0.2">
      <c r="A108" s="223"/>
      <c r="B108" s="263"/>
      <c r="C108" s="263"/>
      <c r="D108" s="263"/>
      <c r="E108" s="263"/>
      <c r="F108" s="263"/>
      <c r="G108" s="238" t="s">
        <v>251</v>
      </c>
      <c r="H108" s="238"/>
      <c r="I108" s="238"/>
      <c r="J108" s="238"/>
      <c r="K108" s="238"/>
      <c r="L108" s="238"/>
      <c r="M108" s="238"/>
      <c r="N108" s="238"/>
      <c r="O108" s="238"/>
      <c r="P108" s="16"/>
      <c r="Q108" s="116"/>
      <c r="R108" s="116"/>
      <c r="S108" s="116"/>
      <c r="T108" s="135">
        <f t="shared" si="11"/>
        <v>0</v>
      </c>
    </row>
    <row r="109" spans="1:20" ht="9.75" customHeight="1" x14ac:dyDescent="0.2">
      <c r="A109" s="223"/>
      <c r="B109" s="263"/>
      <c r="C109" s="263"/>
      <c r="D109" s="263"/>
      <c r="E109" s="263"/>
      <c r="F109" s="263"/>
      <c r="G109" s="238" t="s">
        <v>252</v>
      </c>
      <c r="H109" s="238"/>
      <c r="I109" s="238"/>
      <c r="J109" s="238"/>
      <c r="K109" s="238"/>
      <c r="L109" s="238"/>
      <c r="M109" s="238"/>
      <c r="N109" s="238"/>
      <c r="O109" s="238"/>
      <c r="P109" s="16"/>
      <c r="Q109" s="116"/>
      <c r="R109" s="116"/>
      <c r="S109" s="116"/>
      <c r="T109" s="135">
        <f t="shared" si="11"/>
        <v>0</v>
      </c>
    </row>
    <row r="110" spans="1:20" ht="9.75" customHeight="1" x14ac:dyDescent="0.2">
      <c r="A110" s="223"/>
      <c r="B110" s="263"/>
      <c r="C110" s="263"/>
      <c r="D110" s="263"/>
      <c r="E110" s="263"/>
      <c r="F110" s="263"/>
      <c r="G110" s="257" t="s">
        <v>253</v>
      </c>
      <c r="H110" s="257"/>
      <c r="I110" s="257"/>
      <c r="J110" s="257"/>
      <c r="K110" s="257"/>
      <c r="L110" s="257"/>
      <c r="M110" s="257"/>
      <c r="N110" s="257"/>
      <c r="O110" s="257"/>
      <c r="P110" s="16"/>
      <c r="Q110" s="116"/>
      <c r="R110" s="116"/>
      <c r="S110" s="116"/>
      <c r="T110" s="135">
        <f t="shared" si="11"/>
        <v>0</v>
      </c>
    </row>
    <row r="111" spans="1:20" ht="9.75" customHeight="1" x14ac:dyDescent="0.2">
      <c r="A111" s="223"/>
      <c r="B111" s="263"/>
      <c r="C111" s="263"/>
      <c r="D111" s="263"/>
      <c r="E111" s="263"/>
      <c r="F111" s="263"/>
      <c r="G111" s="257" t="s">
        <v>254</v>
      </c>
      <c r="H111" s="257"/>
      <c r="I111" s="257"/>
      <c r="J111" s="257"/>
      <c r="K111" s="257"/>
      <c r="L111" s="257"/>
      <c r="M111" s="257"/>
      <c r="N111" s="257"/>
      <c r="O111" s="257"/>
      <c r="P111" s="16"/>
      <c r="Q111" s="116"/>
      <c r="R111" s="116"/>
      <c r="S111" s="116"/>
      <c r="T111" s="135">
        <f t="shared" si="11"/>
        <v>0</v>
      </c>
    </row>
    <row r="112" spans="1:20" ht="9.75" customHeight="1" x14ac:dyDescent="0.2">
      <c r="A112" s="223"/>
      <c r="B112" s="263"/>
      <c r="C112" s="263"/>
      <c r="D112" s="263"/>
      <c r="E112" s="263"/>
      <c r="F112" s="263"/>
      <c r="G112" s="257" t="s">
        <v>255</v>
      </c>
      <c r="H112" s="257"/>
      <c r="I112" s="257"/>
      <c r="J112" s="257"/>
      <c r="K112" s="257"/>
      <c r="L112" s="257"/>
      <c r="M112" s="257"/>
      <c r="N112" s="257"/>
      <c r="O112" s="257"/>
      <c r="P112" s="16"/>
      <c r="Q112" s="116"/>
      <c r="R112" s="116"/>
      <c r="S112" s="116"/>
      <c r="T112" s="135">
        <f t="shared" si="11"/>
        <v>0</v>
      </c>
    </row>
    <row r="113" spans="1:20" ht="12" customHeight="1" x14ac:dyDescent="0.2">
      <c r="A113" s="19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23"/>
      <c r="M113" s="23"/>
      <c r="N113" s="23"/>
      <c r="O113" s="23"/>
      <c r="P113" s="16"/>
      <c r="Q113" s="116"/>
      <c r="R113" s="136"/>
      <c r="S113" s="136"/>
      <c r="T113" s="138">
        <f>T105+T106+T107+T108+T109+T110+T111+T112</f>
        <v>0</v>
      </c>
    </row>
    <row r="114" spans="1:20" ht="15" customHeight="1" x14ac:dyDescent="0.2">
      <c r="A114" s="223" t="s">
        <v>256</v>
      </c>
      <c r="B114" s="332" t="s">
        <v>257</v>
      </c>
      <c r="C114" s="332"/>
      <c r="D114" s="332"/>
      <c r="E114" s="332"/>
      <c r="F114" s="332"/>
      <c r="G114" s="238" t="s">
        <v>258</v>
      </c>
      <c r="H114" s="238"/>
      <c r="I114" s="238"/>
      <c r="J114" s="238"/>
      <c r="K114" s="238"/>
      <c r="L114" s="238"/>
      <c r="M114" s="238"/>
      <c r="N114" s="238"/>
      <c r="O114" s="238"/>
      <c r="P114" s="16">
        <v>270</v>
      </c>
      <c r="Q114" s="116"/>
      <c r="R114" s="116"/>
      <c r="S114" s="116"/>
      <c r="T114" s="135">
        <f>P114+Q114+R114+S114</f>
        <v>270</v>
      </c>
    </row>
    <row r="115" spans="1:20" ht="15" customHeight="1" x14ac:dyDescent="0.2">
      <c r="A115" s="244"/>
      <c r="B115" s="332"/>
      <c r="C115" s="332"/>
      <c r="D115" s="332"/>
      <c r="E115" s="332"/>
      <c r="F115" s="332"/>
      <c r="G115" s="238" t="s">
        <v>259</v>
      </c>
      <c r="H115" s="238"/>
      <c r="I115" s="238"/>
      <c r="J115" s="238"/>
      <c r="K115" s="238"/>
      <c r="L115" s="238"/>
      <c r="M115" s="238"/>
      <c r="N115" s="238"/>
      <c r="O115" s="238"/>
      <c r="P115" s="16"/>
      <c r="Q115" s="116"/>
      <c r="R115" s="116"/>
      <c r="S115" s="116"/>
      <c r="T115" s="139">
        <f>P115+Q115+R115+S116</f>
        <v>0</v>
      </c>
    </row>
    <row r="116" spans="1:20" ht="12" customHeight="1" x14ac:dyDescent="0.2">
      <c r="A116" s="87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109"/>
      <c r="M116" s="109"/>
      <c r="N116" s="109"/>
      <c r="O116" s="109"/>
      <c r="P116" s="110"/>
      <c r="Q116" s="140"/>
      <c r="R116" s="141"/>
      <c r="S116" s="142"/>
      <c r="T116" s="143">
        <f>T114+T115</f>
        <v>270</v>
      </c>
    </row>
    <row r="117" spans="1:20" ht="22.5" customHeight="1" x14ac:dyDescent="0.2">
      <c r="A117" s="258" t="s">
        <v>260</v>
      </c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60"/>
      <c r="T117" s="144">
        <f>T104+T113+T116</f>
        <v>330</v>
      </c>
    </row>
    <row r="118" spans="1:20" ht="15.75" customHeight="1" x14ac:dyDescent="0.2">
      <c r="A118" s="333" t="s">
        <v>261</v>
      </c>
      <c r="B118" s="261"/>
      <c r="C118" s="261"/>
      <c r="D118" s="261" t="s">
        <v>14</v>
      </c>
      <c r="E118" s="261"/>
      <c r="F118" s="261"/>
      <c r="G118" s="261"/>
      <c r="H118" s="261"/>
      <c r="I118" s="261"/>
      <c r="J118" s="261"/>
      <c r="K118" s="261"/>
      <c r="L118" s="261" t="s">
        <v>185</v>
      </c>
      <c r="M118" s="261"/>
      <c r="N118" s="226" t="s">
        <v>186</v>
      </c>
      <c r="O118" s="226"/>
      <c r="P118" s="240" t="s">
        <v>187</v>
      </c>
      <c r="Q118" s="240"/>
      <c r="R118" s="240" t="s">
        <v>188</v>
      </c>
      <c r="S118" s="240"/>
      <c r="T118" s="316" t="s">
        <v>165</v>
      </c>
    </row>
    <row r="119" spans="1:20" ht="18.75" customHeight="1" x14ac:dyDescent="0.2">
      <c r="A119" s="334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99" t="s">
        <v>216</v>
      </c>
      <c r="M119" s="99" t="s">
        <v>217</v>
      </c>
      <c r="N119" s="99" t="s">
        <v>216</v>
      </c>
      <c r="O119" s="99" t="s">
        <v>217</v>
      </c>
      <c r="P119" s="99" t="s">
        <v>216</v>
      </c>
      <c r="Q119" s="99" t="s">
        <v>217</v>
      </c>
      <c r="R119" s="99" t="s">
        <v>216</v>
      </c>
      <c r="S119" s="99" t="s">
        <v>217</v>
      </c>
      <c r="T119" s="315"/>
    </row>
    <row r="120" spans="1:20" ht="40.5" customHeight="1" x14ac:dyDescent="0.2">
      <c r="A120" s="19" t="s">
        <v>238</v>
      </c>
      <c r="B120" s="270" t="s">
        <v>262</v>
      </c>
      <c r="C120" s="271"/>
      <c r="D120" s="272" t="s">
        <v>263</v>
      </c>
      <c r="E120" s="262"/>
      <c r="F120" s="262"/>
      <c r="G120" s="262"/>
      <c r="H120" s="262"/>
      <c r="I120" s="262"/>
      <c r="J120" s="262"/>
      <c r="K120" s="262"/>
      <c r="L120" s="111">
        <v>40</v>
      </c>
      <c r="M120" s="111"/>
      <c r="N120" s="111"/>
      <c r="O120" s="111"/>
      <c r="P120" s="111"/>
      <c r="Q120" s="116"/>
      <c r="R120" s="116"/>
      <c r="S120" s="116"/>
      <c r="T120" s="135">
        <f>L120+M120+N120+O120+P120+Q120+R120+S120</f>
        <v>40</v>
      </c>
    </row>
    <row r="121" spans="1:20" ht="15.75" customHeight="1" x14ac:dyDescent="0.2">
      <c r="A121" s="273" t="s">
        <v>264</v>
      </c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89"/>
      <c r="T121" s="135">
        <f>L120+M120+N120+O120+P120+Q120+R120+S120</f>
        <v>40</v>
      </c>
    </row>
    <row r="122" spans="1:20" ht="17.25" customHeight="1" x14ac:dyDescent="0.2">
      <c r="A122" s="90" t="s">
        <v>265</v>
      </c>
      <c r="B122" s="91"/>
      <c r="C122" s="92"/>
      <c r="D122" s="93"/>
      <c r="E122" s="275" t="s">
        <v>184</v>
      </c>
      <c r="F122" s="276"/>
      <c r="G122" s="276"/>
      <c r="H122" s="276"/>
      <c r="I122" s="276"/>
      <c r="J122" s="276"/>
      <c r="K122" s="276"/>
      <c r="L122" s="276"/>
      <c r="M122" s="276"/>
      <c r="N122" s="276"/>
      <c r="O122" s="277"/>
      <c r="P122" s="49" t="s">
        <v>185</v>
      </c>
      <c r="Q122" s="49" t="s">
        <v>186</v>
      </c>
      <c r="R122" s="49" t="s">
        <v>187</v>
      </c>
      <c r="S122" s="49" t="s">
        <v>188</v>
      </c>
      <c r="T122" s="68" t="s">
        <v>165</v>
      </c>
    </row>
    <row r="123" spans="1:20" ht="12.75" customHeight="1" x14ac:dyDescent="0.2">
      <c r="A123" s="282" t="s">
        <v>71</v>
      </c>
      <c r="B123" s="329" t="s">
        <v>266</v>
      </c>
      <c r="C123" s="330"/>
      <c r="D123" s="330"/>
      <c r="E123" s="278" t="s">
        <v>219</v>
      </c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112"/>
      <c r="Q123" s="145"/>
      <c r="R123" s="145"/>
      <c r="S123" s="145"/>
      <c r="T123" s="146"/>
    </row>
    <row r="124" spans="1:20" ht="12.75" customHeight="1" x14ac:dyDescent="0.2">
      <c r="A124" s="223"/>
      <c r="B124" s="331"/>
      <c r="C124" s="331"/>
      <c r="D124" s="331"/>
      <c r="E124" s="209" t="s">
        <v>267</v>
      </c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98"/>
      <c r="Q124" s="51"/>
      <c r="R124" s="51"/>
      <c r="S124" s="51"/>
      <c r="T124" s="74"/>
    </row>
    <row r="125" spans="1:20" ht="12.75" customHeight="1" x14ac:dyDescent="0.2">
      <c r="A125" s="223"/>
      <c r="B125" s="331"/>
      <c r="C125" s="331"/>
      <c r="D125" s="331"/>
      <c r="E125" s="209" t="s">
        <v>268</v>
      </c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98"/>
      <c r="Q125" s="51"/>
      <c r="R125" s="51"/>
      <c r="S125" s="51"/>
      <c r="T125" s="74"/>
    </row>
    <row r="126" spans="1:20" ht="21" customHeight="1" x14ac:dyDescent="0.2">
      <c r="A126" s="223"/>
      <c r="B126" s="331"/>
      <c r="C126" s="331"/>
      <c r="D126" s="331"/>
      <c r="E126" s="209" t="s">
        <v>269</v>
      </c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98"/>
      <c r="Q126" s="51"/>
      <c r="R126" s="51"/>
      <c r="S126" s="51"/>
      <c r="T126" s="74"/>
    </row>
    <row r="127" spans="1:20" ht="17.25" customHeight="1" x14ac:dyDescent="0.2">
      <c r="A127" s="76"/>
      <c r="B127" s="94"/>
      <c r="C127" s="94"/>
      <c r="D127" s="94"/>
      <c r="E127" s="81"/>
      <c r="F127" s="81"/>
      <c r="G127" s="81"/>
      <c r="H127" s="81"/>
      <c r="I127" s="81"/>
      <c r="J127" s="81"/>
      <c r="K127" s="81"/>
      <c r="L127" s="113"/>
      <c r="M127" s="113"/>
      <c r="N127" s="113"/>
      <c r="O127" s="113"/>
      <c r="P127" s="97">
        <f>P123+P124+P125+P126</f>
        <v>0</v>
      </c>
      <c r="Q127" s="97">
        <f>Q123+Q124+Q125+Q126</f>
        <v>0</v>
      </c>
      <c r="R127" s="97">
        <f>R123+R124+R125+R126</f>
        <v>0</v>
      </c>
      <c r="S127" s="97">
        <f>S123+S124+S125+S126</f>
        <v>0</v>
      </c>
      <c r="T127" s="147">
        <f>P127+Q127+R127+S127</f>
        <v>0</v>
      </c>
    </row>
    <row r="128" spans="1:20" ht="27.75" customHeight="1" x14ac:dyDescent="0.2">
      <c r="A128" s="95"/>
      <c r="B128" s="279" t="s">
        <v>270</v>
      </c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1"/>
      <c r="Q128" s="281"/>
      <c r="R128" s="281"/>
      <c r="S128" s="148"/>
      <c r="T128" s="147">
        <f>P127:T127</f>
        <v>0</v>
      </c>
    </row>
    <row r="129" spans="1:20" ht="51.75" customHeight="1" x14ac:dyDescent="0.2">
      <c r="A129" s="283" t="s">
        <v>271</v>
      </c>
      <c r="B129" s="284"/>
      <c r="C129" s="284"/>
      <c r="D129" s="284"/>
      <c r="E129" s="264" t="s">
        <v>272</v>
      </c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151">
        <v>50</v>
      </c>
      <c r="Q129" s="151"/>
      <c r="R129" s="151"/>
      <c r="S129" s="151"/>
      <c r="T129" s="154">
        <f>P129+Q129+R129+S129</f>
        <v>50</v>
      </c>
    </row>
    <row r="130" spans="1:20" ht="22.5" customHeight="1" x14ac:dyDescent="0.2">
      <c r="A130" s="265" t="s">
        <v>273</v>
      </c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155">
        <f>T74+T98+T117+T121+T128</f>
        <v>1130</v>
      </c>
    </row>
    <row r="131" spans="1:20" ht="23.25" customHeight="1" x14ac:dyDescent="0.2">
      <c r="A131" s="267" t="s">
        <v>274</v>
      </c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3"/>
      <c r="T131" s="156"/>
    </row>
    <row r="132" spans="1:20" ht="32.25" customHeight="1" x14ac:dyDescent="0.2">
      <c r="A132" s="327" t="s">
        <v>275</v>
      </c>
      <c r="B132" s="220"/>
      <c r="C132" s="220"/>
      <c r="D132" s="220" t="s">
        <v>184</v>
      </c>
      <c r="E132" s="220"/>
      <c r="F132" s="220"/>
      <c r="G132" s="220"/>
      <c r="H132" s="220"/>
      <c r="I132" s="220"/>
      <c r="J132" s="220"/>
      <c r="K132" s="220"/>
      <c r="L132" s="220" t="s">
        <v>185</v>
      </c>
      <c r="M132" s="220"/>
      <c r="N132" s="226" t="s">
        <v>186</v>
      </c>
      <c r="O132" s="226"/>
      <c r="P132" s="240" t="s">
        <v>187</v>
      </c>
      <c r="Q132" s="240"/>
      <c r="R132" s="240" t="s">
        <v>188</v>
      </c>
      <c r="S132" s="240"/>
      <c r="T132" s="316" t="s">
        <v>165</v>
      </c>
    </row>
    <row r="133" spans="1:20" ht="23.25" customHeight="1" x14ac:dyDescent="0.2">
      <c r="A133" s="328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152" t="s">
        <v>216</v>
      </c>
      <c r="M133" s="152" t="s">
        <v>217</v>
      </c>
      <c r="N133" s="152" t="s">
        <v>216</v>
      </c>
      <c r="O133" s="152" t="s">
        <v>217</v>
      </c>
      <c r="P133" s="152" t="s">
        <v>216</v>
      </c>
      <c r="Q133" s="152" t="s">
        <v>217</v>
      </c>
      <c r="R133" s="152" t="s">
        <v>216</v>
      </c>
      <c r="S133" s="152" t="s">
        <v>217</v>
      </c>
      <c r="T133" s="317"/>
    </row>
    <row r="134" spans="1:20" ht="18.75" customHeight="1" x14ac:dyDescent="0.2">
      <c r="A134" s="243" t="s">
        <v>276</v>
      </c>
      <c r="B134" s="324" t="s">
        <v>277</v>
      </c>
      <c r="C134" s="325"/>
      <c r="D134" s="269" t="s">
        <v>240</v>
      </c>
      <c r="E134" s="269"/>
      <c r="F134" s="269"/>
      <c r="G134" s="269"/>
      <c r="H134" s="269"/>
      <c r="I134" s="269"/>
      <c r="J134" s="269"/>
      <c r="K134" s="269"/>
      <c r="L134" s="102">
        <v>20</v>
      </c>
      <c r="M134" s="102"/>
      <c r="N134" s="102"/>
      <c r="O134" s="102"/>
      <c r="P134" s="102"/>
      <c r="Q134" s="126"/>
      <c r="R134" s="126"/>
      <c r="S134" s="126"/>
      <c r="T134" s="128">
        <f>L134+M134+N134+O134+P134+Q134+R134+S134</f>
        <v>20</v>
      </c>
    </row>
    <row r="135" spans="1:20" ht="18.75" customHeight="1" x14ac:dyDescent="0.2">
      <c r="A135" s="244"/>
      <c r="B135" s="326"/>
      <c r="C135" s="326"/>
      <c r="D135" s="286" t="s">
        <v>278</v>
      </c>
      <c r="E135" s="286"/>
      <c r="F135" s="286"/>
      <c r="G135" s="286"/>
      <c r="H135" s="286"/>
      <c r="I135" s="286"/>
      <c r="J135" s="286"/>
      <c r="K135" s="286"/>
      <c r="L135" s="104"/>
      <c r="M135" s="104"/>
      <c r="N135" s="96"/>
      <c r="O135" s="96"/>
      <c r="P135" s="96"/>
      <c r="Q135" s="118"/>
      <c r="R135" s="118"/>
      <c r="S135" s="118"/>
      <c r="T135" s="128">
        <f>L135+M135+N135+O135+P135+Q135+R135+S135</f>
        <v>0</v>
      </c>
    </row>
    <row r="136" spans="1:20" ht="4.5" customHeight="1" x14ac:dyDescent="0.2">
      <c r="A136" s="76"/>
      <c r="B136" s="94"/>
      <c r="C136" s="94"/>
      <c r="D136" s="81"/>
      <c r="E136" s="81"/>
      <c r="F136" s="81"/>
      <c r="G136" s="81"/>
      <c r="H136" s="81"/>
      <c r="I136" s="81"/>
      <c r="J136" s="81"/>
      <c r="K136" s="81"/>
      <c r="L136" s="153"/>
      <c r="M136" s="153"/>
      <c r="N136" s="97"/>
      <c r="O136" s="97"/>
      <c r="P136" s="97"/>
      <c r="Q136" s="120"/>
      <c r="R136" s="120"/>
      <c r="S136" s="120"/>
      <c r="T136" s="157">
        <f>T134+T135</f>
        <v>20</v>
      </c>
    </row>
    <row r="137" spans="1:20" ht="4.5" customHeight="1" x14ac:dyDescent="0.2">
      <c r="A137" s="87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110"/>
      <c r="M137" s="110"/>
      <c r="N137" s="110"/>
      <c r="O137" s="110"/>
      <c r="P137" s="110"/>
      <c r="Q137" s="140"/>
      <c r="R137" s="140"/>
      <c r="S137" s="140"/>
      <c r="T137" s="158" t="e">
        <f>#REF!+#REF!+#REF!</f>
        <v>#REF!</v>
      </c>
    </row>
    <row r="138" spans="1:20" ht="22.5" customHeight="1" x14ac:dyDescent="0.2">
      <c r="A138" s="258" t="s">
        <v>279</v>
      </c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87"/>
      <c r="T138" s="159">
        <f>T136</f>
        <v>20</v>
      </c>
    </row>
    <row r="139" spans="1:20" ht="20.25" customHeight="1" x14ac:dyDescent="0.2">
      <c r="A139" s="288" t="s">
        <v>280</v>
      </c>
      <c r="B139" s="289"/>
      <c r="C139" s="289"/>
      <c r="D139" s="289"/>
      <c r="E139" s="289"/>
      <c r="F139" s="289"/>
      <c r="G139" s="289" t="s">
        <v>184</v>
      </c>
      <c r="H139" s="289"/>
      <c r="I139" s="289"/>
      <c r="J139" s="289"/>
      <c r="K139" s="289"/>
      <c r="L139" s="289"/>
      <c r="M139" s="289"/>
      <c r="N139" s="289"/>
      <c r="O139" s="289"/>
      <c r="P139" s="50" t="s">
        <v>185</v>
      </c>
      <c r="Q139" s="50" t="s">
        <v>186</v>
      </c>
      <c r="R139" s="50" t="s">
        <v>187</v>
      </c>
      <c r="S139" s="50" t="s">
        <v>188</v>
      </c>
      <c r="T139" s="69" t="s">
        <v>165</v>
      </c>
    </row>
    <row r="140" spans="1:20" x14ac:dyDescent="0.2">
      <c r="A140" s="19" t="s">
        <v>276</v>
      </c>
      <c r="B140" s="290" t="s">
        <v>126</v>
      </c>
      <c r="C140" s="290"/>
      <c r="D140" s="290"/>
      <c r="E140" s="290"/>
      <c r="F140" s="290"/>
      <c r="G140" s="257" t="s">
        <v>281</v>
      </c>
      <c r="H140" s="257"/>
      <c r="I140" s="257"/>
      <c r="J140" s="257"/>
      <c r="K140" s="257"/>
      <c r="L140" s="257"/>
      <c r="M140" s="257"/>
      <c r="N140" s="257"/>
      <c r="O140" s="257"/>
      <c r="P140" s="16">
        <v>40</v>
      </c>
      <c r="Q140" s="116"/>
      <c r="R140" s="116"/>
      <c r="S140" s="116"/>
      <c r="T140" s="128">
        <f>P140+Q140+R140+S140</f>
        <v>40</v>
      </c>
    </row>
    <row r="141" spans="1:20" ht="25.5" customHeight="1" x14ac:dyDescent="0.2">
      <c r="A141" s="19" t="s">
        <v>282</v>
      </c>
      <c r="B141" s="291" t="s">
        <v>129</v>
      </c>
      <c r="C141" s="291"/>
      <c r="D141" s="291"/>
      <c r="E141" s="291"/>
      <c r="F141" s="291"/>
      <c r="G141" s="209" t="s">
        <v>281</v>
      </c>
      <c r="H141" s="209"/>
      <c r="I141" s="209"/>
      <c r="J141" s="209"/>
      <c r="K141" s="209"/>
      <c r="L141" s="209"/>
      <c r="M141" s="209"/>
      <c r="N141" s="209"/>
      <c r="O141" s="209"/>
      <c r="P141" s="16">
        <v>10</v>
      </c>
      <c r="Q141" s="116"/>
      <c r="R141" s="116"/>
      <c r="S141" s="116"/>
      <c r="T141" s="160">
        <f>P141+Q141+R141+S141</f>
        <v>10</v>
      </c>
    </row>
    <row r="142" spans="1:20" ht="25.5" customHeight="1" x14ac:dyDescent="0.2">
      <c r="A142" s="19" t="s">
        <v>283</v>
      </c>
      <c r="B142" s="224" t="s">
        <v>131</v>
      </c>
      <c r="C142" s="224"/>
      <c r="D142" s="224"/>
      <c r="E142" s="224"/>
      <c r="F142" s="224"/>
      <c r="G142" s="209" t="s">
        <v>281</v>
      </c>
      <c r="H142" s="209"/>
      <c r="I142" s="209"/>
      <c r="J142" s="209"/>
      <c r="K142" s="209"/>
      <c r="L142" s="209"/>
      <c r="M142" s="209"/>
      <c r="N142" s="209"/>
      <c r="O142" s="209"/>
      <c r="P142" s="16">
        <v>40</v>
      </c>
      <c r="Q142" s="116"/>
      <c r="R142" s="116"/>
      <c r="S142" s="116"/>
      <c r="T142" s="160">
        <f>P142+Q142+R142+S142</f>
        <v>40</v>
      </c>
    </row>
    <row r="143" spans="1:20" ht="25.5" customHeight="1" x14ac:dyDescent="0.2">
      <c r="A143" s="19" t="s">
        <v>284</v>
      </c>
      <c r="B143" s="224" t="s">
        <v>133</v>
      </c>
      <c r="C143" s="224"/>
      <c r="D143" s="224"/>
      <c r="E143" s="224"/>
      <c r="F143" s="224"/>
      <c r="G143" s="209" t="s">
        <v>281</v>
      </c>
      <c r="H143" s="209"/>
      <c r="I143" s="209"/>
      <c r="J143" s="209"/>
      <c r="K143" s="209"/>
      <c r="L143" s="209"/>
      <c r="M143" s="209"/>
      <c r="N143" s="209"/>
      <c r="O143" s="209"/>
      <c r="P143" s="16">
        <v>40</v>
      </c>
      <c r="Q143" s="116"/>
      <c r="R143" s="116"/>
      <c r="S143" s="116"/>
      <c r="T143" s="160">
        <f t="shared" ref="T143:T148" si="12">P143+Q143+R143+S143</f>
        <v>40</v>
      </c>
    </row>
    <row r="144" spans="1:20" ht="25.5" customHeight="1" x14ac:dyDescent="0.2">
      <c r="A144" s="19" t="s">
        <v>285</v>
      </c>
      <c r="B144" s="291" t="s">
        <v>135</v>
      </c>
      <c r="C144" s="291"/>
      <c r="D144" s="291"/>
      <c r="E144" s="291"/>
      <c r="F144" s="291"/>
      <c r="G144" s="209" t="s">
        <v>281</v>
      </c>
      <c r="H144" s="209"/>
      <c r="I144" s="209"/>
      <c r="J144" s="209"/>
      <c r="K144" s="209"/>
      <c r="L144" s="209"/>
      <c r="M144" s="209"/>
      <c r="N144" s="209"/>
      <c r="O144" s="209"/>
      <c r="P144" s="16">
        <v>10</v>
      </c>
      <c r="Q144" s="116"/>
      <c r="R144" s="116"/>
      <c r="S144" s="116"/>
      <c r="T144" s="160">
        <f t="shared" si="12"/>
        <v>10</v>
      </c>
    </row>
    <row r="145" spans="1:20" ht="15" customHeight="1" x14ac:dyDescent="0.2">
      <c r="A145" s="223" t="s">
        <v>286</v>
      </c>
      <c r="B145" s="224" t="s">
        <v>287</v>
      </c>
      <c r="C145" s="224"/>
      <c r="D145" s="224"/>
      <c r="E145" s="224"/>
      <c r="F145" s="224"/>
      <c r="G145" s="257" t="s">
        <v>288</v>
      </c>
      <c r="H145" s="257"/>
      <c r="I145" s="257"/>
      <c r="J145" s="257"/>
      <c r="K145" s="257"/>
      <c r="L145" s="257"/>
      <c r="M145" s="257"/>
      <c r="N145" s="257"/>
      <c r="O145" s="257"/>
      <c r="P145" s="16"/>
      <c r="Q145" s="116"/>
      <c r="R145" s="116"/>
      <c r="S145" s="116"/>
      <c r="T145" s="160">
        <f t="shared" si="12"/>
        <v>0</v>
      </c>
    </row>
    <row r="146" spans="1:20" ht="15" customHeight="1" x14ac:dyDescent="0.2">
      <c r="A146" s="223"/>
      <c r="B146" s="224"/>
      <c r="C146" s="224"/>
      <c r="D146" s="224"/>
      <c r="E146" s="224"/>
      <c r="F146" s="224"/>
      <c r="G146" s="257" t="s">
        <v>289</v>
      </c>
      <c r="H146" s="257"/>
      <c r="I146" s="257"/>
      <c r="J146" s="257"/>
      <c r="K146" s="257"/>
      <c r="L146" s="257"/>
      <c r="M146" s="257"/>
      <c r="N146" s="257"/>
      <c r="O146" s="257"/>
      <c r="P146" s="16"/>
      <c r="Q146" s="116"/>
      <c r="R146" s="116"/>
      <c r="S146" s="116"/>
      <c r="T146" s="160">
        <f t="shared" si="12"/>
        <v>0</v>
      </c>
    </row>
    <row r="147" spans="1:20" ht="15" customHeight="1" x14ac:dyDescent="0.2">
      <c r="A147" s="223"/>
      <c r="B147" s="224"/>
      <c r="C147" s="224"/>
      <c r="D147" s="224"/>
      <c r="E147" s="224"/>
      <c r="F147" s="224"/>
      <c r="G147" s="257" t="s">
        <v>290</v>
      </c>
      <c r="H147" s="257"/>
      <c r="I147" s="257"/>
      <c r="J147" s="257"/>
      <c r="K147" s="257"/>
      <c r="L147" s="257"/>
      <c r="M147" s="257"/>
      <c r="N147" s="257"/>
      <c r="O147" s="257"/>
      <c r="P147" s="16"/>
      <c r="Q147" s="116"/>
      <c r="R147" s="116"/>
      <c r="S147" s="116"/>
      <c r="T147" s="160">
        <f t="shared" si="12"/>
        <v>0</v>
      </c>
    </row>
    <row r="148" spans="1:20" ht="15" customHeight="1" x14ac:dyDescent="0.2">
      <c r="A148" s="223"/>
      <c r="B148" s="224"/>
      <c r="C148" s="224"/>
      <c r="D148" s="224"/>
      <c r="E148" s="224"/>
      <c r="F148" s="224"/>
      <c r="G148" s="257" t="s">
        <v>291</v>
      </c>
      <c r="H148" s="257"/>
      <c r="I148" s="257"/>
      <c r="J148" s="257"/>
      <c r="K148" s="257"/>
      <c r="L148" s="257"/>
      <c r="M148" s="257"/>
      <c r="N148" s="257"/>
      <c r="O148" s="257"/>
      <c r="P148" s="16">
        <v>50</v>
      </c>
      <c r="Q148" s="116"/>
      <c r="R148" s="116"/>
      <c r="S148" s="116"/>
      <c r="T148" s="160">
        <f t="shared" si="12"/>
        <v>50</v>
      </c>
    </row>
    <row r="149" spans="1:20" ht="10.5" customHeight="1" x14ac:dyDescent="0.2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3"/>
      <c r="M149" s="23"/>
      <c r="N149" s="23"/>
      <c r="O149" s="23"/>
      <c r="P149" s="16"/>
      <c r="Q149" s="116"/>
      <c r="R149" s="116"/>
      <c r="S149" s="116"/>
      <c r="T149" s="160"/>
    </row>
    <row r="150" spans="1:20" ht="21.75" customHeight="1" x14ac:dyDescent="0.2">
      <c r="A150" s="149" t="s">
        <v>292</v>
      </c>
      <c r="B150" s="285" t="s">
        <v>143</v>
      </c>
      <c r="C150" s="285"/>
      <c r="D150" s="285"/>
      <c r="E150" s="285"/>
      <c r="F150" s="285"/>
      <c r="G150" s="286" t="s">
        <v>281</v>
      </c>
      <c r="H150" s="286"/>
      <c r="I150" s="286"/>
      <c r="J150" s="286"/>
      <c r="K150" s="286"/>
      <c r="L150" s="286"/>
      <c r="M150" s="286"/>
      <c r="N150" s="286"/>
      <c r="O150" s="286"/>
      <c r="P150" s="96">
        <v>10</v>
      </c>
      <c r="Q150" s="118"/>
      <c r="R150" s="118"/>
      <c r="S150" s="118"/>
      <c r="T150" s="161">
        <f>P150+Q150+R150+S150</f>
        <v>10</v>
      </c>
    </row>
    <row r="151" spans="1:20" ht="21" customHeight="1" x14ac:dyDescent="0.2">
      <c r="A151" s="335" t="s">
        <v>293</v>
      </c>
      <c r="B151" s="336"/>
      <c r="C151" s="336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150"/>
      <c r="T151" s="162">
        <f>T140+T141+T142+T143+T144+T145+T146+T147+T148+T150</f>
        <v>200</v>
      </c>
    </row>
    <row r="152" spans="1:20" x14ac:dyDescent="0.2">
      <c r="A152" s="337" t="s">
        <v>294</v>
      </c>
      <c r="B152" s="338"/>
      <c r="C152" s="338"/>
      <c r="D152" s="338"/>
      <c r="E152" s="338"/>
      <c r="F152" s="338"/>
      <c r="G152" s="339" t="s">
        <v>184</v>
      </c>
      <c r="H152" s="339"/>
      <c r="I152" s="339"/>
      <c r="J152" s="339"/>
      <c r="K152" s="339"/>
      <c r="L152" s="339"/>
      <c r="M152" s="339"/>
      <c r="N152" s="339"/>
      <c r="O152" s="339"/>
      <c r="P152" s="49" t="s">
        <v>185</v>
      </c>
      <c r="Q152" s="49" t="s">
        <v>186</v>
      </c>
      <c r="R152" s="49" t="s">
        <v>187</v>
      </c>
      <c r="S152" s="49" t="s">
        <v>188</v>
      </c>
      <c r="T152" s="163" t="s">
        <v>171</v>
      </c>
    </row>
    <row r="153" spans="1:20" ht="15.75" customHeight="1" x14ac:dyDescent="0.2">
      <c r="A153" s="25" t="s">
        <v>276</v>
      </c>
      <c r="B153" s="340" t="s">
        <v>145</v>
      </c>
      <c r="C153" s="341"/>
      <c r="D153" s="341"/>
      <c r="E153" s="341"/>
      <c r="F153" s="342"/>
      <c r="G153" s="269" t="s">
        <v>295</v>
      </c>
      <c r="H153" s="269"/>
      <c r="I153" s="269"/>
      <c r="J153" s="269"/>
      <c r="K153" s="269"/>
      <c r="L153" s="269"/>
      <c r="M153" s="269"/>
      <c r="N153" s="269"/>
      <c r="O153" s="269"/>
      <c r="P153" s="102">
        <v>50</v>
      </c>
      <c r="Q153" s="126"/>
      <c r="R153" s="126"/>
      <c r="S153" s="126"/>
      <c r="T153" s="128">
        <f>P153+Q153+R153+S153</f>
        <v>50</v>
      </c>
    </row>
    <row r="154" spans="1:20" ht="19.5" customHeight="1" x14ac:dyDescent="0.2">
      <c r="A154" s="28" t="s">
        <v>282</v>
      </c>
      <c r="B154" s="343" t="s">
        <v>148</v>
      </c>
      <c r="C154" s="343"/>
      <c r="D154" s="343"/>
      <c r="E154" s="343"/>
      <c r="F154" s="343"/>
      <c r="G154" s="344" t="s">
        <v>296</v>
      </c>
      <c r="H154" s="344"/>
      <c r="I154" s="344"/>
      <c r="J154" s="344"/>
      <c r="K154" s="344"/>
      <c r="L154" s="344"/>
      <c r="M154" s="344"/>
      <c r="N154" s="344"/>
      <c r="O154" s="344"/>
      <c r="P154" s="96"/>
      <c r="Q154" s="118"/>
      <c r="R154" s="118"/>
      <c r="S154" s="118"/>
      <c r="T154" s="130">
        <f t="shared" ref="T154" si="13">P154+Q154+R154+S154</f>
        <v>0</v>
      </c>
    </row>
    <row r="155" spans="1:20" ht="15.75" customHeight="1" x14ac:dyDescent="0.2">
      <c r="A155" s="345" t="s">
        <v>297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162">
        <f>T153+T154</f>
        <v>50</v>
      </c>
    </row>
    <row r="156" spans="1:20" ht="15.75" customHeight="1" x14ac:dyDescent="0.2">
      <c r="A156" s="347" t="s">
        <v>298</v>
      </c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135">
        <f>T138+T151++T155</f>
        <v>270</v>
      </c>
    </row>
    <row r="157" spans="1:20" ht="15.75" customHeight="1" x14ac:dyDescent="0.2">
      <c r="A157" s="318" t="s">
        <v>152</v>
      </c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8">
        <f>T35+T130+T156</f>
        <v>1522</v>
      </c>
      <c r="T157" s="322"/>
    </row>
    <row r="158" spans="1:20" ht="21.75" customHeight="1" x14ac:dyDescent="0.2">
      <c r="A158" s="320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0"/>
      <c r="T158" s="323"/>
    </row>
  </sheetData>
  <mergeCells count="263">
    <mergeCell ref="B94:C95"/>
    <mergeCell ref="D94:K95"/>
    <mergeCell ref="B89:C92"/>
    <mergeCell ref="B83:C87"/>
    <mergeCell ref="B77:C81"/>
    <mergeCell ref="A75:C76"/>
    <mergeCell ref="D75:K76"/>
    <mergeCell ref="B69:I72"/>
    <mergeCell ref="B25:B26"/>
    <mergeCell ref="B27:B28"/>
    <mergeCell ref="B29:B30"/>
    <mergeCell ref="B31:B33"/>
    <mergeCell ref="J51:O51"/>
    <mergeCell ref="J52:O52"/>
    <mergeCell ref="J53:O53"/>
    <mergeCell ref="J54:O54"/>
    <mergeCell ref="A83:A87"/>
    <mergeCell ref="A89:A92"/>
    <mergeCell ref="T132:T133"/>
    <mergeCell ref="A157:R158"/>
    <mergeCell ref="S157:T158"/>
    <mergeCell ref="B145:F148"/>
    <mergeCell ref="B134:C135"/>
    <mergeCell ref="A132:C133"/>
    <mergeCell ref="D132:K133"/>
    <mergeCell ref="B123:D126"/>
    <mergeCell ref="B114:F115"/>
    <mergeCell ref="A118:C119"/>
    <mergeCell ref="D118:K119"/>
    <mergeCell ref="A151:R151"/>
    <mergeCell ref="A152:F152"/>
    <mergeCell ref="G152:O152"/>
    <mergeCell ref="B153:F153"/>
    <mergeCell ref="G153:O153"/>
    <mergeCell ref="B154:F154"/>
    <mergeCell ref="G154:O154"/>
    <mergeCell ref="A155:S155"/>
    <mergeCell ref="A156:S156"/>
    <mergeCell ref="B143:F143"/>
    <mergeCell ref="G143:O143"/>
    <mergeCell ref="B144:F144"/>
    <mergeCell ref="G144:O144"/>
    <mergeCell ref="T17:T18"/>
    <mergeCell ref="T19:T21"/>
    <mergeCell ref="T23:T24"/>
    <mergeCell ref="T25:T26"/>
    <mergeCell ref="T27:T28"/>
    <mergeCell ref="T29:T30"/>
    <mergeCell ref="T31:T33"/>
    <mergeCell ref="T75:T76"/>
    <mergeCell ref="T118:T119"/>
    <mergeCell ref="A94:A95"/>
    <mergeCell ref="A101:A103"/>
    <mergeCell ref="G101:O101"/>
    <mergeCell ref="G102:O102"/>
    <mergeCell ref="G103:O103"/>
    <mergeCell ref="D80:K80"/>
    <mergeCell ref="D81:K81"/>
    <mergeCell ref="D83:K83"/>
    <mergeCell ref="D84:K84"/>
    <mergeCell ref="D85:K85"/>
    <mergeCell ref="D86:K86"/>
    <mergeCell ref="D87:K87"/>
    <mergeCell ref="D89:K89"/>
    <mergeCell ref="D90:K90"/>
    <mergeCell ref="D91:K91"/>
    <mergeCell ref="D92:K92"/>
    <mergeCell ref="B97:C97"/>
    <mergeCell ref="D97:K97"/>
    <mergeCell ref="A98:R98"/>
    <mergeCell ref="A99:F99"/>
    <mergeCell ref="G99:O99"/>
    <mergeCell ref="B100:F100"/>
    <mergeCell ref="G100:O100"/>
    <mergeCell ref="B101:F103"/>
    <mergeCell ref="A25:A26"/>
    <mergeCell ref="A27:A28"/>
    <mergeCell ref="A29:A30"/>
    <mergeCell ref="A31:A33"/>
    <mergeCell ref="A38:A43"/>
    <mergeCell ref="A45:A49"/>
    <mergeCell ref="A51:A55"/>
    <mergeCell ref="A57:A61"/>
    <mergeCell ref="A63:A67"/>
    <mergeCell ref="G145:O145"/>
    <mergeCell ref="G146:O146"/>
    <mergeCell ref="G147:O147"/>
    <mergeCell ref="G148:O148"/>
    <mergeCell ref="B150:F150"/>
    <mergeCell ref="G150:O150"/>
    <mergeCell ref="D135:K135"/>
    <mergeCell ref="A138:S138"/>
    <mergeCell ref="A139:F139"/>
    <mergeCell ref="G139:O139"/>
    <mergeCell ref="B140:F140"/>
    <mergeCell ref="G140:O140"/>
    <mergeCell ref="B141:F141"/>
    <mergeCell ref="G141:O141"/>
    <mergeCell ref="B142:F142"/>
    <mergeCell ref="G142:O142"/>
    <mergeCell ref="A134:A135"/>
    <mergeCell ref="A145:A148"/>
    <mergeCell ref="E129:O129"/>
    <mergeCell ref="A130:S130"/>
    <mergeCell ref="A131:R131"/>
    <mergeCell ref="L132:M132"/>
    <mergeCell ref="N132:O132"/>
    <mergeCell ref="P132:Q132"/>
    <mergeCell ref="R132:S132"/>
    <mergeCell ref="D134:K134"/>
    <mergeCell ref="B120:C120"/>
    <mergeCell ref="D120:K120"/>
    <mergeCell ref="A121:R121"/>
    <mergeCell ref="E122:O122"/>
    <mergeCell ref="E123:O123"/>
    <mergeCell ref="E124:O124"/>
    <mergeCell ref="E125:O125"/>
    <mergeCell ref="E126:O126"/>
    <mergeCell ref="B128:R128"/>
    <mergeCell ref="A123:A126"/>
    <mergeCell ref="A129:D129"/>
    <mergeCell ref="G111:O111"/>
    <mergeCell ref="G112:O112"/>
    <mergeCell ref="G114:O114"/>
    <mergeCell ref="G115:O115"/>
    <mergeCell ref="A117:S117"/>
    <mergeCell ref="L118:M118"/>
    <mergeCell ref="N118:O118"/>
    <mergeCell ref="P118:Q118"/>
    <mergeCell ref="R118:S118"/>
    <mergeCell ref="B105:F112"/>
    <mergeCell ref="G105:O105"/>
    <mergeCell ref="G106:O106"/>
    <mergeCell ref="G107:O107"/>
    <mergeCell ref="G108:O108"/>
    <mergeCell ref="G109:O109"/>
    <mergeCell ref="G110:O110"/>
    <mergeCell ref="A105:A112"/>
    <mergeCell ref="A114:A115"/>
    <mergeCell ref="N75:O75"/>
    <mergeCell ref="P75:Q75"/>
    <mergeCell ref="R75:S75"/>
    <mergeCell ref="D77:K77"/>
    <mergeCell ref="D78:K78"/>
    <mergeCell ref="D79:K79"/>
    <mergeCell ref="A69:A72"/>
    <mergeCell ref="A77:A81"/>
    <mergeCell ref="J61:O61"/>
    <mergeCell ref="J63:O63"/>
    <mergeCell ref="J64:O64"/>
    <mergeCell ref="J65:O65"/>
    <mergeCell ref="J66:O66"/>
    <mergeCell ref="J67:O67"/>
    <mergeCell ref="J69:O69"/>
    <mergeCell ref="J70:O70"/>
    <mergeCell ref="J71:O71"/>
    <mergeCell ref="J72:O72"/>
    <mergeCell ref="A74:S74"/>
    <mergeCell ref="L75:M75"/>
    <mergeCell ref="B63:I67"/>
    <mergeCell ref="B57:I61"/>
    <mergeCell ref="J60:O60"/>
    <mergeCell ref="J40:O40"/>
    <mergeCell ref="J41:O41"/>
    <mergeCell ref="J42:O42"/>
    <mergeCell ref="J43:O43"/>
    <mergeCell ref="J45:O45"/>
    <mergeCell ref="J46:O46"/>
    <mergeCell ref="J47:O47"/>
    <mergeCell ref="J48:O48"/>
    <mergeCell ref="J49:O49"/>
    <mergeCell ref="A34:S34"/>
    <mergeCell ref="A35:S35"/>
    <mergeCell ref="J37:O37"/>
    <mergeCell ref="J38:O38"/>
    <mergeCell ref="J39:O39"/>
    <mergeCell ref="J55:O55"/>
    <mergeCell ref="J57:O57"/>
    <mergeCell ref="J58:O58"/>
    <mergeCell ref="J59:O59"/>
    <mergeCell ref="B51:I55"/>
    <mergeCell ref="B45:I49"/>
    <mergeCell ref="B38:I43"/>
    <mergeCell ref="D31:G31"/>
    <mergeCell ref="H31:K31"/>
    <mergeCell ref="L31:O31"/>
    <mergeCell ref="P31:S31"/>
    <mergeCell ref="D32:G32"/>
    <mergeCell ref="H32:K32"/>
    <mergeCell ref="L32:O32"/>
    <mergeCell ref="P32:S32"/>
    <mergeCell ref="D33:G33"/>
    <mergeCell ref="H33:K33"/>
    <mergeCell ref="L33:O33"/>
    <mergeCell ref="P33:S33"/>
    <mergeCell ref="D28:G28"/>
    <mergeCell ref="H28:K28"/>
    <mergeCell ref="L28:O28"/>
    <mergeCell ref="P28:S28"/>
    <mergeCell ref="D29:G29"/>
    <mergeCell ref="H29:K29"/>
    <mergeCell ref="L29:O29"/>
    <mergeCell ref="P29:S29"/>
    <mergeCell ref="D30:G30"/>
    <mergeCell ref="H30:K30"/>
    <mergeCell ref="L30:O30"/>
    <mergeCell ref="P30:S30"/>
    <mergeCell ref="D25:G25"/>
    <mergeCell ref="H25:K25"/>
    <mergeCell ref="L25:O25"/>
    <mergeCell ref="P25:S25"/>
    <mergeCell ref="D26:G26"/>
    <mergeCell ref="H26:K26"/>
    <mergeCell ref="L26:O26"/>
    <mergeCell ref="P26:S26"/>
    <mergeCell ref="D27:G27"/>
    <mergeCell ref="H27:K27"/>
    <mergeCell ref="L27:O27"/>
    <mergeCell ref="P27:S27"/>
    <mergeCell ref="D17:G17"/>
    <mergeCell ref="H17:K17"/>
    <mergeCell ref="L17:O17"/>
    <mergeCell ref="P17:S17"/>
    <mergeCell ref="A22:R22"/>
    <mergeCell ref="D23:G23"/>
    <mergeCell ref="H23:K23"/>
    <mergeCell ref="L23:O23"/>
    <mergeCell ref="P23:S23"/>
    <mergeCell ref="A19:A21"/>
    <mergeCell ref="B19:B21"/>
    <mergeCell ref="K19:K21"/>
    <mergeCell ref="O19:O21"/>
    <mergeCell ref="S19:S21"/>
    <mergeCell ref="C17:C18"/>
    <mergeCell ref="C23:C24"/>
    <mergeCell ref="G19:G21"/>
    <mergeCell ref="D24:G24"/>
    <mergeCell ref="H24:K24"/>
    <mergeCell ref="L24:O24"/>
    <mergeCell ref="P24:S24"/>
    <mergeCell ref="A23:B24"/>
    <mergeCell ref="A17:B18"/>
    <mergeCell ref="B1:T1"/>
    <mergeCell ref="A3:T3"/>
    <mergeCell ref="A4:T4"/>
    <mergeCell ref="B5:T5"/>
    <mergeCell ref="A9:T9"/>
    <mergeCell ref="D10:H10"/>
    <mergeCell ref="I10:M10"/>
    <mergeCell ref="O10:S10"/>
    <mergeCell ref="A16:R16"/>
    <mergeCell ref="A10:A11"/>
    <mergeCell ref="A12:A13"/>
    <mergeCell ref="A14:A15"/>
    <mergeCell ref="B10:B11"/>
    <mergeCell ref="B12:B13"/>
    <mergeCell ref="B14:B15"/>
    <mergeCell ref="N10:N11"/>
    <mergeCell ref="T10:T11"/>
    <mergeCell ref="T12:T13"/>
    <mergeCell ref="T14:T15"/>
    <mergeCell ref="C10:C11"/>
    <mergeCell ref="C12:C15"/>
  </mergeCells>
  <pageMargins left="0.7" right="0.7" top="0.75" bottom="0.75" header="0.3" footer="0.3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58"/>
  <sheetViews>
    <sheetView tabSelected="1" topLeftCell="A154" workbookViewId="0">
      <selection activeCell="T165" sqref="T165"/>
    </sheetView>
  </sheetViews>
  <sheetFormatPr defaultColWidth="9.140625" defaultRowHeight="11.25" x14ac:dyDescent="0.2"/>
  <cols>
    <col min="1" max="1" width="5" style="1" customWidth="1"/>
    <col min="2" max="2" width="25.7109375" style="2" customWidth="1"/>
    <col min="3" max="3" width="11.140625" style="2" customWidth="1"/>
    <col min="4" max="11" width="3.42578125" style="2" customWidth="1"/>
    <col min="12" max="19" width="4.42578125" style="2" customWidth="1"/>
    <col min="20" max="20" width="26.140625" style="2" customWidth="1"/>
    <col min="21" max="21" width="9.140625" style="2"/>
    <col min="22" max="22" width="32.28515625" style="2" customWidth="1"/>
    <col min="23" max="16384" width="9.140625" style="2"/>
  </cols>
  <sheetData>
    <row r="1" spans="1:20" ht="18" customHeight="1" x14ac:dyDescent="0.2">
      <c r="A1" s="1" t="e" cm="1">
        <f t="array" ref="A1" ca="1">A1:T138</f>
        <v>#VALUE!</v>
      </c>
      <c r="B1" s="192" t="s">
        <v>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20" ht="9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O2" s="3"/>
      <c r="P2" s="42" t="s">
        <v>153</v>
      </c>
      <c r="Q2" s="42"/>
      <c r="R2" s="42"/>
      <c r="S2" s="42"/>
      <c r="T2" s="42"/>
    </row>
    <row r="3" spans="1:20" ht="15" customHeight="1" x14ac:dyDescent="0.2">
      <c r="A3" s="193" t="s">
        <v>154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20" ht="50.25" customHeight="1" x14ac:dyDescent="0.2">
      <c r="A4" s="194" t="s">
        <v>155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</row>
    <row r="5" spans="1:20" ht="16.5" customHeight="1" x14ac:dyDescent="0.2">
      <c r="A5" s="4" t="s">
        <v>3</v>
      </c>
      <c r="B5" s="197" t="s">
        <v>156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9"/>
    </row>
    <row r="6" spans="1:20" ht="17.25" customHeight="1" x14ac:dyDescent="0.2">
      <c r="A6" s="5" t="s">
        <v>157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8"/>
    </row>
    <row r="7" spans="1:20" ht="33" customHeight="1" x14ac:dyDescent="0.2">
      <c r="A7" s="7" t="s">
        <v>158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59"/>
    </row>
    <row r="8" spans="1:20" ht="14.25" customHeight="1" x14ac:dyDescent="0.2">
      <c r="A8" s="9" t="s">
        <v>159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60">
        <v>0.2</v>
      </c>
    </row>
    <row r="9" spans="1:20" ht="25.5" customHeight="1" x14ac:dyDescent="0.2">
      <c r="A9" s="200" t="s">
        <v>160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2"/>
    </row>
    <row r="10" spans="1:20" ht="19.5" customHeight="1" x14ac:dyDescent="0.2">
      <c r="A10" s="207"/>
      <c r="B10" s="210"/>
      <c r="C10" s="217" t="s">
        <v>14</v>
      </c>
      <c r="D10" s="203" t="s">
        <v>161</v>
      </c>
      <c r="E10" s="203"/>
      <c r="F10" s="203"/>
      <c r="G10" s="203"/>
      <c r="H10" s="203"/>
      <c r="I10" s="203" t="s">
        <v>162</v>
      </c>
      <c r="J10" s="203"/>
      <c r="K10" s="203"/>
      <c r="L10" s="203"/>
      <c r="M10" s="203"/>
      <c r="N10" s="204" t="s">
        <v>163</v>
      </c>
      <c r="O10" s="204" t="s">
        <v>164</v>
      </c>
      <c r="P10" s="204"/>
      <c r="Q10" s="204"/>
      <c r="R10" s="204"/>
      <c r="S10" s="204"/>
      <c r="T10" s="213" t="s">
        <v>165</v>
      </c>
    </row>
    <row r="11" spans="1:20" ht="22.5" customHeight="1" x14ac:dyDescent="0.2">
      <c r="A11" s="208"/>
      <c r="B11" s="211"/>
      <c r="C11" s="218"/>
      <c r="D11" s="12" t="s">
        <v>8</v>
      </c>
      <c r="E11" s="12" t="s">
        <v>9</v>
      </c>
      <c r="F11" s="12" t="s">
        <v>10</v>
      </c>
      <c r="G11" s="12" t="s">
        <v>11</v>
      </c>
      <c r="H11" s="12" t="s">
        <v>166</v>
      </c>
      <c r="I11" s="12" t="s">
        <v>8</v>
      </c>
      <c r="J11" s="12" t="s">
        <v>9</v>
      </c>
      <c r="K11" s="12" t="s">
        <v>10</v>
      </c>
      <c r="L11" s="12" t="s">
        <v>11</v>
      </c>
      <c r="M11" s="12" t="s">
        <v>166</v>
      </c>
      <c r="N11" s="212"/>
      <c r="O11" s="12" t="s">
        <v>8</v>
      </c>
      <c r="P11" s="12" t="s">
        <v>9</v>
      </c>
      <c r="Q11" s="12" t="s">
        <v>10</v>
      </c>
      <c r="R11" s="12" t="s">
        <v>11</v>
      </c>
      <c r="S11" s="12" t="s">
        <v>166</v>
      </c>
      <c r="T11" s="214"/>
    </row>
    <row r="12" spans="1:20" ht="12.75" customHeight="1" x14ac:dyDescent="0.2">
      <c r="A12" s="209" t="s">
        <v>50</v>
      </c>
      <c r="B12" s="209" t="s">
        <v>167</v>
      </c>
      <c r="C12" s="219" t="s">
        <v>168</v>
      </c>
      <c r="D12" s="14">
        <v>80</v>
      </c>
      <c r="E12" s="15"/>
      <c r="F12" s="15"/>
      <c r="G12" s="15"/>
      <c r="H12" s="15">
        <f>(D12+E12+F12+G12)/4</f>
        <v>20</v>
      </c>
      <c r="I12" s="17"/>
      <c r="J12" s="17"/>
      <c r="K12" s="17"/>
      <c r="L12" s="17"/>
      <c r="M12" s="15">
        <f>(I12+J12+K12+L12)/4</f>
        <v>0</v>
      </c>
      <c r="N12" s="43">
        <v>1</v>
      </c>
      <c r="O12" s="43"/>
      <c r="P12" s="43"/>
      <c r="Q12" s="43"/>
      <c r="R12" s="43"/>
      <c r="S12" s="43">
        <f>SUM(O12:R12)/4</f>
        <v>0</v>
      </c>
      <c r="T12" s="215">
        <f>(H12+N12-0.2*S12)+(M12-0.2*S12)</f>
        <v>21</v>
      </c>
    </row>
    <row r="13" spans="1:20" ht="21.75" customHeight="1" x14ac:dyDescent="0.2">
      <c r="A13" s="209"/>
      <c r="B13" s="209"/>
      <c r="C13" s="219"/>
      <c r="D13" s="16"/>
      <c r="E13" s="15"/>
      <c r="F13" s="15"/>
      <c r="G13" s="15"/>
      <c r="H13" s="15"/>
      <c r="I13" s="16"/>
      <c r="J13" s="16"/>
      <c r="K13" s="16"/>
      <c r="L13" s="16"/>
      <c r="M13" s="16"/>
      <c r="N13" s="44"/>
      <c r="O13" s="45"/>
      <c r="P13" s="46"/>
      <c r="Q13" s="46"/>
      <c r="R13" s="46"/>
      <c r="S13" s="46"/>
      <c r="T13" s="216"/>
    </row>
    <row r="14" spans="1:20" ht="13.5" customHeight="1" x14ac:dyDescent="0.2">
      <c r="A14" s="209" t="s">
        <v>54</v>
      </c>
      <c r="B14" s="209" t="s">
        <v>169</v>
      </c>
      <c r="C14" s="219"/>
      <c r="D14" s="16">
        <v>80</v>
      </c>
      <c r="E14" s="16"/>
      <c r="F14" s="16"/>
      <c r="G14" s="16"/>
      <c r="H14" s="15">
        <f>(D14+E14+F14+G14)/4</f>
        <v>20</v>
      </c>
      <c r="I14" s="16"/>
      <c r="J14" s="16"/>
      <c r="K14" s="16"/>
      <c r="L14" s="16"/>
      <c r="M14" s="15">
        <f>(I14+J14+K14+L14)/4</f>
        <v>0</v>
      </c>
      <c r="N14" s="43">
        <v>1</v>
      </c>
      <c r="O14" s="43"/>
      <c r="P14" s="43"/>
      <c r="Q14" s="43"/>
      <c r="R14" s="43"/>
      <c r="S14" s="43">
        <f>SUM(O14:R14)/4</f>
        <v>0</v>
      </c>
      <c r="T14" s="215">
        <f>(H14+N14-0.2*S14)+(M14-0.2*S14)</f>
        <v>21</v>
      </c>
    </row>
    <row r="15" spans="1:20" ht="33" customHeight="1" x14ac:dyDescent="0.2">
      <c r="A15" s="209"/>
      <c r="B15" s="209"/>
      <c r="C15" s="21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47"/>
      <c r="O15" s="48"/>
      <c r="P15" s="46"/>
      <c r="Q15" s="46"/>
      <c r="R15" s="46"/>
      <c r="S15" s="46"/>
      <c r="T15" s="216"/>
    </row>
    <row r="16" spans="1:20" ht="21" customHeight="1" x14ac:dyDescent="0.2">
      <c r="A16" s="205" t="s">
        <v>29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61"/>
      <c r="T16" s="62">
        <f>T12+T14</f>
        <v>42</v>
      </c>
    </row>
    <row r="17" spans="1:20" ht="32.25" customHeight="1" x14ac:dyDescent="0.2">
      <c r="A17" s="356" t="s">
        <v>170</v>
      </c>
      <c r="B17" s="226"/>
      <c r="C17" s="226" t="s">
        <v>14</v>
      </c>
      <c r="D17" s="220" t="s">
        <v>31</v>
      </c>
      <c r="E17" s="220"/>
      <c r="F17" s="220"/>
      <c r="G17" s="220"/>
      <c r="H17" s="220" t="s">
        <v>32</v>
      </c>
      <c r="I17" s="220"/>
      <c r="J17" s="220"/>
      <c r="K17" s="220"/>
      <c r="L17" s="220" t="s">
        <v>33</v>
      </c>
      <c r="M17" s="220"/>
      <c r="N17" s="220"/>
      <c r="O17" s="220"/>
      <c r="P17" s="220" t="s">
        <v>34</v>
      </c>
      <c r="Q17" s="220"/>
      <c r="R17" s="220"/>
      <c r="S17" s="220"/>
      <c r="T17" s="309" t="s">
        <v>171</v>
      </c>
    </row>
    <row r="18" spans="1:20" ht="30" customHeight="1" x14ac:dyDescent="0.2">
      <c r="A18" s="357"/>
      <c r="B18" s="225"/>
      <c r="C18" s="225"/>
      <c r="D18" s="18" t="s">
        <v>35</v>
      </c>
      <c r="E18" s="18" t="s">
        <v>172</v>
      </c>
      <c r="F18" s="18" t="s">
        <v>37</v>
      </c>
      <c r="G18" s="18" t="s">
        <v>39</v>
      </c>
      <c r="H18" s="18" t="s">
        <v>172</v>
      </c>
      <c r="I18" s="18" t="s">
        <v>37</v>
      </c>
      <c r="J18" s="18" t="s">
        <v>35</v>
      </c>
      <c r="K18" s="18" t="s">
        <v>39</v>
      </c>
      <c r="L18" s="18" t="s">
        <v>172</v>
      </c>
      <c r="M18" s="18" t="s">
        <v>37</v>
      </c>
      <c r="N18" s="18" t="s">
        <v>35</v>
      </c>
      <c r="O18" s="18" t="s">
        <v>39</v>
      </c>
      <c r="P18" s="18" t="s">
        <v>172</v>
      </c>
      <c r="Q18" s="18" t="s">
        <v>37</v>
      </c>
      <c r="R18" s="18" t="s">
        <v>35</v>
      </c>
      <c r="S18" s="18" t="s">
        <v>39</v>
      </c>
      <c r="T18" s="310"/>
    </row>
    <row r="19" spans="1:20" ht="11.25" customHeight="1" x14ac:dyDescent="0.2">
      <c r="A19" s="223" t="s">
        <v>50</v>
      </c>
      <c r="B19" s="224" t="s">
        <v>173</v>
      </c>
      <c r="C19" s="13" t="s">
        <v>174</v>
      </c>
      <c r="D19" s="15">
        <v>160</v>
      </c>
      <c r="E19" s="15"/>
      <c r="F19" s="15"/>
      <c r="G19" s="225">
        <f>D19+E19+F19+D20+E20+F20+D21+E21+F21</f>
        <v>160</v>
      </c>
      <c r="H19" s="15"/>
      <c r="I19" s="15"/>
      <c r="J19" s="15"/>
      <c r="K19" s="225">
        <f>H19+I19+J19+H20+I20+J20+H21+I21+J21</f>
        <v>0</v>
      </c>
      <c r="L19" s="15"/>
      <c r="M19" s="15"/>
      <c r="N19" s="15"/>
      <c r="O19" s="225">
        <f>L19+M19+N19+L20+M20+N20+L21+M21+N21</f>
        <v>0</v>
      </c>
      <c r="P19" s="15"/>
      <c r="Q19" s="15"/>
      <c r="R19" s="15"/>
      <c r="S19" s="225">
        <f t="shared" ref="S19" si="0">P19+Q19+R19+P20++Q20+R20+P21+Q21+R21</f>
        <v>0</v>
      </c>
      <c r="T19" s="310">
        <f>(G19+K19+O19+S19)/4</f>
        <v>40</v>
      </c>
    </row>
    <row r="20" spans="1:20" ht="11.25" customHeight="1" x14ac:dyDescent="0.2">
      <c r="A20" s="223"/>
      <c r="B20" s="224"/>
      <c r="C20" s="13" t="s">
        <v>175</v>
      </c>
      <c r="D20" s="15"/>
      <c r="E20" s="15"/>
      <c r="F20" s="15"/>
      <c r="G20" s="225"/>
      <c r="H20" s="15"/>
      <c r="I20" s="15"/>
      <c r="J20" s="15"/>
      <c r="K20" s="225"/>
      <c r="L20" s="15"/>
      <c r="M20" s="15"/>
      <c r="N20" s="15"/>
      <c r="O20" s="225"/>
      <c r="P20" s="15"/>
      <c r="Q20" s="15"/>
      <c r="R20" s="15"/>
      <c r="S20" s="225"/>
      <c r="T20" s="310"/>
    </row>
    <row r="21" spans="1:20" ht="28.5" customHeight="1" x14ac:dyDescent="0.2">
      <c r="A21" s="223"/>
      <c r="B21" s="224"/>
      <c r="C21" s="13" t="s">
        <v>176</v>
      </c>
      <c r="D21" s="15"/>
      <c r="E21" s="15"/>
      <c r="F21" s="15"/>
      <c r="G21" s="225"/>
      <c r="H21" s="15"/>
      <c r="I21" s="15"/>
      <c r="J21" s="15"/>
      <c r="K21" s="225"/>
      <c r="L21" s="15"/>
      <c r="M21" s="15"/>
      <c r="N21" s="15"/>
      <c r="O21" s="225"/>
      <c r="P21" s="15"/>
      <c r="Q21" s="15"/>
      <c r="R21" s="15"/>
      <c r="S21" s="225"/>
      <c r="T21" s="310"/>
    </row>
    <row r="22" spans="1:20" ht="20.25" customHeight="1" x14ac:dyDescent="0.2">
      <c r="A22" s="221" t="s">
        <v>48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1"/>
      <c r="T22" s="63">
        <f>T19</f>
        <v>40</v>
      </c>
    </row>
    <row r="23" spans="1:20" ht="21.75" customHeight="1" x14ac:dyDescent="0.2">
      <c r="A23" s="352" t="s">
        <v>177</v>
      </c>
      <c r="B23" s="353"/>
      <c r="C23" s="226" t="s">
        <v>14</v>
      </c>
      <c r="D23" s="220" t="s">
        <v>31</v>
      </c>
      <c r="E23" s="220"/>
      <c r="F23" s="220"/>
      <c r="G23" s="220"/>
      <c r="H23" s="220" t="s">
        <v>32</v>
      </c>
      <c r="I23" s="220"/>
      <c r="J23" s="220"/>
      <c r="K23" s="220"/>
      <c r="L23" s="220" t="s">
        <v>33</v>
      </c>
      <c r="M23" s="220"/>
      <c r="N23" s="220"/>
      <c r="O23" s="220"/>
      <c r="P23" s="220" t="s">
        <v>34</v>
      </c>
      <c r="Q23" s="220"/>
      <c r="R23" s="220"/>
      <c r="S23" s="220"/>
      <c r="T23" s="311" t="s">
        <v>171</v>
      </c>
    </row>
    <row r="24" spans="1:20" ht="21.75" customHeight="1" x14ac:dyDescent="0.2">
      <c r="A24" s="354"/>
      <c r="B24" s="355"/>
      <c r="C24" s="225"/>
      <c r="D24" s="227" t="s">
        <v>37</v>
      </c>
      <c r="E24" s="228"/>
      <c r="F24" s="228"/>
      <c r="G24" s="229"/>
      <c r="H24" s="227" t="s">
        <v>37</v>
      </c>
      <c r="I24" s="228"/>
      <c r="J24" s="228"/>
      <c r="K24" s="229"/>
      <c r="L24" s="227" t="s">
        <v>37</v>
      </c>
      <c r="M24" s="228"/>
      <c r="N24" s="228"/>
      <c r="O24" s="229"/>
      <c r="P24" s="227" t="s">
        <v>37</v>
      </c>
      <c r="Q24" s="228"/>
      <c r="R24" s="228"/>
      <c r="S24" s="229"/>
      <c r="T24" s="312"/>
    </row>
    <row r="25" spans="1:20" ht="10.5" customHeight="1" x14ac:dyDescent="0.2">
      <c r="A25" s="223" t="s">
        <v>50</v>
      </c>
      <c r="B25" s="373" t="s">
        <v>51</v>
      </c>
      <c r="C25" s="22" t="s">
        <v>52</v>
      </c>
      <c r="D25" s="225">
        <v>40</v>
      </c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310">
        <f>(D25+H25+L25+P25+D26+H26+L26+P26)/4</f>
        <v>10</v>
      </c>
    </row>
    <row r="26" spans="1:20" ht="10.5" customHeight="1" x14ac:dyDescent="0.2">
      <c r="A26" s="223"/>
      <c r="B26" s="374"/>
      <c r="C26" s="23" t="s">
        <v>178</v>
      </c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310"/>
    </row>
    <row r="27" spans="1:20" ht="10.5" customHeight="1" x14ac:dyDescent="0.2">
      <c r="A27" s="223" t="s">
        <v>54</v>
      </c>
      <c r="B27" s="331" t="s">
        <v>55</v>
      </c>
      <c r="C27" s="23" t="s">
        <v>56</v>
      </c>
      <c r="D27" s="225">
        <v>40</v>
      </c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310">
        <f>(D27+H27+L27+P27+D28+H28+L28+P28)/4</f>
        <v>10</v>
      </c>
    </row>
    <row r="28" spans="1:20" ht="10.5" customHeight="1" x14ac:dyDescent="0.2">
      <c r="A28" s="223"/>
      <c r="B28" s="331"/>
      <c r="C28" s="23" t="s">
        <v>178</v>
      </c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310"/>
    </row>
    <row r="29" spans="1:20" ht="10.5" customHeight="1" x14ac:dyDescent="0.2">
      <c r="A29" s="223" t="s">
        <v>57</v>
      </c>
      <c r="B29" s="331" t="s">
        <v>58</v>
      </c>
      <c r="C29" s="13" t="s">
        <v>59</v>
      </c>
      <c r="D29" s="225">
        <v>40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310">
        <f>(D29+H29+L29+P29+D30+H30+L30+P30)/4</f>
        <v>10</v>
      </c>
    </row>
    <row r="30" spans="1:20" ht="10.5" customHeight="1" x14ac:dyDescent="0.2">
      <c r="A30" s="292"/>
      <c r="B30" s="375"/>
      <c r="C30" s="24" t="s">
        <v>179</v>
      </c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310"/>
    </row>
    <row r="31" spans="1:20" ht="10.5" customHeight="1" x14ac:dyDescent="0.2">
      <c r="A31" s="243" t="s">
        <v>61</v>
      </c>
      <c r="B31" s="325" t="s">
        <v>62</v>
      </c>
      <c r="C31" s="26" t="s">
        <v>63</v>
      </c>
      <c r="D31" s="225">
        <v>40</v>
      </c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313">
        <f>(D31+H31+L31+P31+D32+H32+L32+P32+D33+H33+L33+P33)/4</f>
        <v>10</v>
      </c>
    </row>
    <row r="32" spans="1:20" ht="10.5" customHeight="1" x14ac:dyDescent="0.2">
      <c r="A32" s="223"/>
      <c r="B32" s="331"/>
      <c r="C32" s="27" t="s">
        <v>180</v>
      </c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313"/>
    </row>
    <row r="33" spans="1:20" ht="10.5" customHeight="1" x14ac:dyDescent="0.2">
      <c r="A33" s="244"/>
      <c r="B33" s="326"/>
      <c r="C33" s="29" t="s">
        <v>181</v>
      </c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313"/>
    </row>
    <row r="34" spans="1:20" ht="18.75" customHeight="1" x14ac:dyDescent="0.2">
      <c r="A34" s="230" t="s">
        <v>66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2"/>
      <c r="T34" s="64">
        <f>T25+T27+T29+T31</f>
        <v>40</v>
      </c>
    </row>
    <row r="35" spans="1:20" ht="25.5" customHeight="1" x14ac:dyDescent="0.2">
      <c r="A35" s="233" t="s">
        <v>67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65">
        <f>T16+T22+T34</f>
        <v>122</v>
      </c>
    </row>
    <row r="36" spans="1:20" ht="18.75" customHeight="1" x14ac:dyDescent="0.2">
      <c r="A36" s="30" t="s">
        <v>182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6"/>
    </row>
    <row r="37" spans="1:20" ht="15" customHeight="1" x14ac:dyDescent="0.2">
      <c r="A37" s="32" t="s">
        <v>183</v>
      </c>
      <c r="B37" s="33"/>
      <c r="C37" s="33"/>
      <c r="D37" s="33"/>
      <c r="E37" s="33"/>
      <c r="F37" s="33"/>
      <c r="G37" s="33"/>
      <c r="H37" s="33"/>
      <c r="I37" s="33"/>
      <c r="J37" s="235" t="s">
        <v>184</v>
      </c>
      <c r="K37" s="235"/>
      <c r="L37" s="235"/>
      <c r="M37" s="235"/>
      <c r="N37" s="235"/>
      <c r="O37" s="236"/>
      <c r="P37" s="49" t="s">
        <v>185</v>
      </c>
      <c r="Q37" s="49" t="s">
        <v>186</v>
      </c>
      <c r="R37" s="67" t="s">
        <v>187</v>
      </c>
      <c r="S37" s="49" t="s">
        <v>188</v>
      </c>
      <c r="T37" s="68" t="s">
        <v>165</v>
      </c>
    </row>
    <row r="38" spans="1:20" ht="10.5" customHeight="1" x14ac:dyDescent="0.2">
      <c r="A38" s="293" t="s">
        <v>71</v>
      </c>
      <c r="B38" s="349" t="s">
        <v>189</v>
      </c>
      <c r="C38" s="240"/>
      <c r="D38" s="240"/>
      <c r="E38" s="240"/>
      <c r="F38" s="240"/>
      <c r="G38" s="240"/>
      <c r="H38" s="240"/>
      <c r="I38" s="240"/>
      <c r="J38" s="237" t="s">
        <v>190</v>
      </c>
      <c r="K38" s="237"/>
      <c r="L38" s="237"/>
      <c r="M38" s="237"/>
      <c r="N38" s="237"/>
      <c r="O38" s="237"/>
      <c r="P38" s="50"/>
      <c r="Q38" s="50">
        <v>2</v>
      </c>
      <c r="R38" s="50"/>
      <c r="S38" s="50"/>
      <c r="T38" s="69">
        <f>P38+Q38+R38+S38/4</f>
        <v>2</v>
      </c>
    </row>
    <row r="39" spans="1:20" ht="10.5" customHeight="1" x14ac:dyDescent="0.2">
      <c r="A39" s="294"/>
      <c r="B39" s="350"/>
      <c r="C39" s="350"/>
      <c r="D39" s="350"/>
      <c r="E39" s="350"/>
      <c r="F39" s="350"/>
      <c r="G39" s="350"/>
      <c r="H39" s="350"/>
      <c r="I39" s="350"/>
      <c r="J39" s="238" t="s">
        <v>191</v>
      </c>
      <c r="K39" s="238"/>
      <c r="L39" s="238"/>
      <c r="M39" s="238"/>
      <c r="N39" s="238"/>
      <c r="O39" s="238"/>
      <c r="P39" s="51"/>
      <c r="Q39" s="51">
        <v>2</v>
      </c>
      <c r="R39" s="51"/>
      <c r="S39" s="51"/>
      <c r="T39" s="69">
        <f t="shared" ref="T39:T43" si="1">P39+Q39+R39+S39/4</f>
        <v>2</v>
      </c>
    </row>
    <row r="40" spans="1:20" ht="10.5" customHeight="1" x14ac:dyDescent="0.2">
      <c r="A40" s="294"/>
      <c r="B40" s="350"/>
      <c r="C40" s="350"/>
      <c r="D40" s="350"/>
      <c r="E40" s="350"/>
      <c r="F40" s="350"/>
      <c r="G40" s="350"/>
      <c r="H40" s="350"/>
      <c r="I40" s="350"/>
      <c r="J40" s="238" t="s">
        <v>192</v>
      </c>
      <c r="K40" s="238"/>
      <c r="L40" s="238"/>
      <c r="M40" s="238"/>
      <c r="N40" s="238"/>
      <c r="O40" s="238"/>
      <c r="P40" s="51"/>
      <c r="Q40" s="51">
        <v>2</v>
      </c>
      <c r="R40" s="51"/>
      <c r="S40" s="51"/>
      <c r="T40" s="69">
        <f t="shared" si="1"/>
        <v>2</v>
      </c>
    </row>
    <row r="41" spans="1:20" ht="10.5" customHeight="1" x14ac:dyDescent="0.2">
      <c r="A41" s="294"/>
      <c r="B41" s="350"/>
      <c r="C41" s="350"/>
      <c r="D41" s="350"/>
      <c r="E41" s="350"/>
      <c r="F41" s="350"/>
      <c r="G41" s="350"/>
      <c r="H41" s="350"/>
      <c r="I41" s="350"/>
      <c r="J41" s="238" t="s">
        <v>193</v>
      </c>
      <c r="K41" s="238"/>
      <c r="L41" s="238"/>
      <c r="M41" s="238"/>
      <c r="N41" s="238"/>
      <c r="O41" s="238"/>
      <c r="P41" s="51"/>
      <c r="Q41" s="51"/>
      <c r="R41" s="51"/>
      <c r="S41" s="51"/>
      <c r="T41" s="69">
        <f t="shared" si="1"/>
        <v>0</v>
      </c>
    </row>
    <row r="42" spans="1:20" ht="10.5" customHeight="1" x14ac:dyDescent="0.2">
      <c r="A42" s="294"/>
      <c r="B42" s="350"/>
      <c r="C42" s="350"/>
      <c r="D42" s="350"/>
      <c r="E42" s="350"/>
      <c r="F42" s="350"/>
      <c r="G42" s="350"/>
      <c r="H42" s="350"/>
      <c r="I42" s="350"/>
      <c r="J42" s="238" t="s">
        <v>194</v>
      </c>
      <c r="K42" s="238"/>
      <c r="L42" s="238"/>
      <c r="M42" s="238"/>
      <c r="N42" s="238"/>
      <c r="O42" s="238"/>
      <c r="P42" s="51"/>
      <c r="Q42" s="51"/>
      <c r="R42" s="51"/>
      <c r="S42" s="51"/>
      <c r="T42" s="69">
        <f t="shared" si="1"/>
        <v>0</v>
      </c>
    </row>
    <row r="43" spans="1:20" ht="17.25" customHeight="1" x14ac:dyDescent="0.2">
      <c r="A43" s="295"/>
      <c r="B43" s="351"/>
      <c r="C43" s="351"/>
      <c r="D43" s="351"/>
      <c r="E43" s="351"/>
      <c r="F43" s="351"/>
      <c r="G43" s="351"/>
      <c r="H43" s="351"/>
      <c r="I43" s="351"/>
      <c r="J43" s="239" t="s">
        <v>195</v>
      </c>
      <c r="K43" s="239"/>
      <c r="L43" s="239"/>
      <c r="M43" s="239"/>
      <c r="N43" s="239"/>
      <c r="O43" s="239"/>
      <c r="P43" s="52"/>
      <c r="Q43" s="52"/>
      <c r="R43" s="52"/>
      <c r="S43" s="52"/>
      <c r="T43" s="69">
        <f t="shared" si="1"/>
        <v>0</v>
      </c>
    </row>
    <row r="44" spans="1:20" ht="16.5" customHeight="1" x14ac:dyDescent="0.2">
      <c r="A44" s="34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53"/>
      <c r="M44" s="53"/>
      <c r="N44" s="53"/>
      <c r="O44" s="54"/>
      <c r="P44" s="55"/>
      <c r="Q44" s="55"/>
      <c r="R44" s="55"/>
      <c r="S44" s="55"/>
      <c r="T44" s="70">
        <f>T38+T39+T40+T41+T42+T43</f>
        <v>6</v>
      </c>
    </row>
    <row r="45" spans="1:20" ht="11.25" customHeight="1" x14ac:dyDescent="0.2">
      <c r="A45" s="243" t="s">
        <v>79</v>
      </c>
      <c r="B45" s="226" t="s">
        <v>80</v>
      </c>
      <c r="C45" s="220"/>
      <c r="D45" s="220"/>
      <c r="E45" s="220"/>
      <c r="F45" s="220"/>
      <c r="G45" s="220"/>
      <c r="H45" s="220"/>
      <c r="I45" s="220"/>
      <c r="J45" s="237" t="s">
        <v>94</v>
      </c>
      <c r="K45" s="237"/>
      <c r="L45" s="237"/>
      <c r="M45" s="237"/>
      <c r="N45" s="237"/>
      <c r="O45" s="237"/>
      <c r="P45" s="50"/>
      <c r="Q45" s="50"/>
      <c r="R45" s="50"/>
      <c r="S45" s="50"/>
      <c r="T45" s="69">
        <f>P45+Q45+R45+S45</f>
        <v>0</v>
      </c>
    </row>
    <row r="46" spans="1:20" ht="11.25" customHeight="1" x14ac:dyDescent="0.2">
      <c r="A46" s="223"/>
      <c r="B46" s="216"/>
      <c r="C46" s="216"/>
      <c r="D46" s="216"/>
      <c r="E46" s="216"/>
      <c r="F46" s="216"/>
      <c r="G46" s="216"/>
      <c r="H46" s="216"/>
      <c r="I46" s="216"/>
      <c r="J46" s="238" t="s">
        <v>196</v>
      </c>
      <c r="K46" s="238"/>
      <c r="L46" s="238"/>
      <c r="M46" s="238"/>
      <c r="N46" s="238"/>
      <c r="O46" s="238"/>
      <c r="P46" s="51"/>
      <c r="Q46" s="51"/>
      <c r="R46" s="51"/>
      <c r="S46" s="51"/>
      <c r="T46" s="69">
        <f t="shared" ref="T46:T49" si="2">P46+Q46+R46+S46</f>
        <v>0</v>
      </c>
    </row>
    <row r="47" spans="1:20" ht="11.25" customHeight="1" x14ac:dyDescent="0.2">
      <c r="A47" s="223"/>
      <c r="B47" s="216"/>
      <c r="C47" s="216"/>
      <c r="D47" s="216"/>
      <c r="E47" s="216"/>
      <c r="F47" s="216"/>
      <c r="G47" s="216"/>
      <c r="H47" s="216"/>
      <c r="I47" s="216"/>
      <c r="J47" s="238" t="s">
        <v>197</v>
      </c>
      <c r="K47" s="238"/>
      <c r="L47" s="238"/>
      <c r="M47" s="238"/>
      <c r="N47" s="238"/>
      <c r="O47" s="238"/>
      <c r="P47" s="51"/>
      <c r="Q47" s="51"/>
      <c r="R47" s="51"/>
      <c r="S47" s="51"/>
      <c r="T47" s="69">
        <f t="shared" si="2"/>
        <v>0</v>
      </c>
    </row>
    <row r="48" spans="1:20" ht="11.25" customHeight="1" x14ac:dyDescent="0.2">
      <c r="A48" s="223"/>
      <c r="B48" s="216"/>
      <c r="C48" s="216"/>
      <c r="D48" s="216"/>
      <c r="E48" s="216"/>
      <c r="F48" s="216"/>
      <c r="G48" s="216"/>
      <c r="H48" s="216"/>
      <c r="I48" s="216"/>
      <c r="J48" s="238" t="s">
        <v>198</v>
      </c>
      <c r="K48" s="238"/>
      <c r="L48" s="238"/>
      <c r="M48" s="238"/>
      <c r="N48" s="238"/>
      <c r="O48" s="238"/>
      <c r="P48" s="51">
        <v>1</v>
      </c>
      <c r="Q48" s="51"/>
      <c r="R48" s="51"/>
      <c r="S48" s="51"/>
      <c r="T48" s="69">
        <f t="shared" si="2"/>
        <v>1</v>
      </c>
    </row>
    <row r="49" spans="1:20" ht="11.25" customHeight="1" x14ac:dyDescent="0.2">
      <c r="A49" s="223"/>
      <c r="B49" s="216"/>
      <c r="C49" s="216"/>
      <c r="D49" s="216"/>
      <c r="E49" s="216"/>
      <c r="F49" s="216"/>
      <c r="G49" s="216"/>
      <c r="H49" s="216"/>
      <c r="I49" s="216"/>
      <c r="J49" s="238" t="s">
        <v>199</v>
      </c>
      <c r="K49" s="238"/>
      <c r="L49" s="238"/>
      <c r="M49" s="238"/>
      <c r="N49" s="238"/>
      <c r="O49" s="238"/>
      <c r="P49" s="51"/>
      <c r="Q49" s="51"/>
      <c r="R49" s="51"/>
      <c r="S49" s="51"/>
      <c r="T49" s="69">
        <f t="shared" si="2"/>
        <v>0</v>
      </c>
    </row>
    <row r="50" spans="1:20" ht="18.75" customHeight="1" x14ac:dyDescent="0.2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56"/>
      <c r="M50" s="56"/>
      <c r="N50" s="56"/>
      <c r="O50" s="56"/>
      <c r="P50" s="57"/>
      <c r="Q50" s="55"/>
      <c r="R50" s="55"/>
      <c r="S50" s="71"/>
      <c r="T50" s="72">
        <f>T45+T46+T47+T48+T49</f>
        <v>1</v>
      </c>
    </row>
    <row r="51" spans="1:20" ht="18.75" customHeight="1" x14ac:dyDescent="0.2">
      <c r="A51" s="243" t="s">
        <v>81</v>
      </c>
      <c r="B51" s="226" t="s">
        <v>82</v>
      </c>
      <c r="C51" s="220"/>
      <c r="D51" s="220"/>
      <c r="E51" s="220"/>
      <c r="F51" s="220"/>
      <c r="G51" s="220"/>
      <c r="H51" s="220"/>
      <c r="I51" s="220"/>
      <c r="J51" s="237" t="s">
        <v>94</v>
      </c>
      <c r="K51" s="237"/>
      <c r="L51" s="237"/>
      <c r="M51" s="237"/>
      <c r="N51" s="237"/>
      <c r="O51" s="237"/>
      <c r="P51" s="50"/>
      <c r="Q51" s="50"/>
      <c r="R51" s="50"/>
      <c r="S51" s="50"/>
      <c r="T51" s="69">
        <f>P51+Q51+R51+S51</f>
        <v>0</v>
      </c>
    </row>
    <row r="52" spans="1:20" ht="18.75" customHeight="1" x14ac:dyDescent="0.2">
      <c r="A52" s="223"/>
      <c r="B52" s="216"/>
      <c r="C52" s="216"/>
      <c r="D52" s="216"/>
      <c r="E52" s="216"/>
      <c r="F52" s="216"/>
      <c r="G52" s="216"/>
      <c r="H52" s="216"/>
      <c r="I52" s="216"/>
      <c r="J52" s="238" t="s">
        <v>196</v>
      </c>
      <c r="K52" s="238"/>
      <c r="L52" s="238"/>
      <c r="M52" s="238"/>
      <c r="N52" s="238"/>
      <c r="O52" s="238"/>
      <c r="P52" s="51"/>
      <c r="Q52" s="51"/>
      <c r="R52" s="51"/>
      <c r="S52" s="51"/>
      <c r="T52" s="69">
        <f t="shared" ref="T52:T55" si="3">P52+Q52+R52+S52</f>
        <v>0</v>
      </c>
    </row>
    <row r="53" spans="1:20" ht="18.75" customHeight="1" x14ac:dyDescent="0.2">
      <c r="A53" s="223"/>
      <c r="B53" s="216"/>
      <c r="C53" s="216"/>
      <c r="D53" s="216"/>
      <c r="E53" s="216"/>
      <c r="F53" s="216"/>
      <c r="G53" s="216"/>
      <c r="H53" s="216"/>
      <c r="I53" s="216"/>
      <c r="J53" s="238" t="s">
        <v>197</v>
      </c>
      <c r="K53" s="238"/>
      <c r="L53" s="238"/>
      <c r="M53" s="238"/>
      <c r="N53" s="238"/>
      <c r="O53" s="238"/>
      <c r="P53" s="51"/>
      <c r="Q53" s="51"/>
      <c r="R53" s="51"/>
      <c r="S53" s="51"/>
      <c r="T53" s="69">
        <f t="shared" si="3"/>
        <v>0</v>
      </c>
    </row>
    <row r="54" spans="1:20" ht="18.75" customHeight="1" x14ac:dyDescent="0.2">
      <c r="A54" s="223"/>
      <c r="B54" s="216"/>
      <c r="C54" s="216"/>
      <c r="D54" s="216"/>
      <c r="E54" s="216"/>
      <c r="F54" s="216"/>
      <c r="G54" s="216"/>
      <c r="H54" s="216"/>
      <c r="I54" s="216"/>
      <c r="J54" s="238" t="s">
        <v>198</v>
      </c>
      <c r="K54" s="238"/>
      <c r="L54" s="238"/>
      <c r="M54" s="238"/>
      <c r="N54" s="238"/>
      <c r="O54" s="238"/>
      <c r="P54" s="51"/>
      <c r="Q54" s="51"/>
      <c r="R54" s="51"/>
      <c r="S54" s="51"/>
      <c r="T54" s="69">
        <f t="shared" si="3"/>
        <v>0</v>
      </c>
    </row>
    <row r="55" spans="1:20" ht="18.75" customHeight="1" x14ac:dyDescent="0.2">
      <c r="A55" s="223"/>
      <c r="B55" s="216"/>
      <c r="C55" s="216"/>
      <c r="D55" s="216"/>
      <c r="E55" s="216"/>
      <c r="F55" s="216"/>
      <c r="G55" s="216"/>
      <c r="H55" s="216"/>
      <c r="I55" s="216"/>
      <c r="J55" s="238" t="s">
        <v>199</v>
      </c>
      <c r="K55" s="238"/>
      <c r="L55" s="238"/>
      <c r="M55" s="238"/>
      <c r="N55" s="238"/>
      <c r="O55" s="238"/>
      <c r="P55" s="51"/>
      <c r="Q55" s="51"/>
      <c r="R55" s="51"/>
      <c r="S55" s="51"/>
      <c r="T55" s="69">
        <f t="shared" si="3"/>
        <v>0</v>
      </c>
    </row>
    <row r="56" spans="1:20" ht="18.75" customHeight="1" x14ac:dyDescent="0.2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56"/>
      <c r="M56" s="56"/>
      <c r="N56" s="56"/>
      <c r="O56" s="56"/>
      <c r="P56" s="57"/>
      <c r="Q56" s="55"/>
      <c r="R56" s="55"/>
      <c r="S56" s="71"/>
      <c r="T56" s="72">
        <f>T51+T52+T53+T54+T55</f>
        <v>0</v>
      </c>
    </row>
    <row r="57" spans="1:20" ht="9.75" customHeight="1" x14ac:dyDescent="0.2">
      <c r="A57" s="243" t="s">
        <v>83</v>
      </c>
      <c r="B57" s="255" t="s">
        <v>200</v>
      </c>
      <c r="C57" s="255"/>
      <c r="D57" s="255"/>
      <c r="E57" s="255"/>
      <c r="F57" s="255"/>
      <c r="G57" s="255"/>
      <c r="H57" s="255"/>
      <c r="I57" s="255"/>
      <c r="J57" s="237" t="s">
        <v>201</v>
      </c>
      <c r="K57" s="237"/>
      <c r="L57" s="237"/>
      <c r="M57" s="237"/>
      <c r="N57" s="237"/>
      <c r="O57" s="237"/>
      <c r="P57" s="50"/>
      <c r="Q57" s="50"/>
      <c r="R57" s="50"/>
      <c r="S57" s="50"/>
      <c r="T57" s="69">
        <f>P57+Q57+R57+S57</f>
        <v>0</v>
      </c>
    </row>
    <row r="58" spans="1:20" ht="9.75" customHeight="1" x14ac:dyDescent="0.2">
      <c r="A58" s="223"/>
      <c r="B58" s="219"/>
      <c r="C58" s="219"/>
      <c r="D58" s="219"/>
      <c r="E58" s="219"/>
      <c r="F58" s="219"/>
      <c r="G58" s="219"/>
      <c r="H58" s="219"/>
      <c r="I58" s="219"/>
      <c r="J58" s="238" t="s">
        <v>202</v>
      </c>
      <c r="K58" s="238"/>
      <c r="L58" s="238"/>
      <c r="M58" s="238"/>
      <c r="N58" s="238"/>
      <c r="O58" s="238"/>
      <c r="P58" s="51"/>
      <c r="Q58" s="51"/>
      <c r="R58" s="51"/>
      <c r="S58" s="51"/>
      <c r="T58" s="69">
        <f t="shared" ref="T58:T61" si="4">P58+Q58+R58+S58</f>
        <v>0</v>
      </c>
    </row>
    <row r="59" spans="1:20" ht="9.75" customHeight="1" x14ac:dyDescent="0.2">
      <c r="A59" s="223"/>
      <c r="B59" s="219"/>
      <c r="C59" s="219"/>
      <c r="D59" s="219"/>
      <c r="E59" s="219"/>
      <c r="F59" s="219"/>
      <c r="G59" s="219"/>
      <c r="H59" s="219"/>
      <c r="I59" s="219"/>
      <c r="J59" s="238" t="s">
        <v>203</v>
      </c>
      <c r="K59" s="238"/>
      <c r="L59" s="238"/>
      <c r="M59" s="238"/>
      <c r="N59" s="238"/>
      <c r="O59" s="238"/>
      <c r="P59" s="51">
        <v>1</v>
      </c>
      <c r="Q59" s="51"/>
      <c r="R59" s="51"/>
      <c r="S59" s="51"/>
      <c r="T59" s="69">
        <f t="shared" si="4"/>
        <v>1</v>
      </c>
    </row>
    <row r="60" spans="1:20" ht="9.75" customHeight="1" x14ac:dyDescent="0.2">
      <c r="A60" s="223"/>
      <c r="B60" s="219"/>
      <c r="C60" s="219"/>
      <c r="D60" s="219"/>
      <c r="E60" s="219"/>
      <c r="F60" s="219"/>
      <c r="G60" s="219"/>
      <c r="H60" s="219"/>
      <c r="I60" s="219"/>
      <c r="J60" s="238" t="s">
        <v>204</v>
      </c>
      <c r="K60" s="238"/>
      <c r="L60" s="238"/>
      <c r="M60" s="238"/>
      <c r="N60" s="238"/>
      <c r="O60" s="238"/>
      <c r="P60" s="51"/>
      <c r="Q60" s="51"/>
      <c r="R60" s="51"/>
      <c r="S60" s="51"/>
      <c r="T60" s="69">
        <f t="shared" si="4"/>
        <v>0</v>
      </c>
    </row>
    <row r="61" spans="1:20" ht="78" customHeight="1" x14ac:dyDescent="0.2">
      <c r="A61" s="244"/>
      <c r="B61" s="256"/>
      <c r="C61" s="256"/>
      <c r="D61" s="256"/>
      <c r="E61" s="256"/>
      <c r="F61" s="256"/>
      <c r="G61" s="256"/>
      <c r="H61" s="256"/>
      <c r="I61" s="256"/>
      <c r="J61" s="245" t="s">
        <v>205</v>
      </c>
      <c r="K61" s="245"/>
      <c r="L61" s="245"/>
      <c r="M61" s="245"/>
      <c r="N61" s="245"/>
      <c r="O61" s="245"/>
      <c r="P61" s="52"/>
      <c r="Q61" s="52"/>
      <c r="R61" s="52"/>
      <c r="S61" s="52"/>
      <c r="T61" s="69">
        <f t="shared" si="4"/>
        <v>0</v>
      </c>
    </row>
    <row r="62" spans="1:20" ht="16.5" customHeight="1" x14ac:dyDescent="0.2">
      <c r="A62" s="3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56"/>
      <c r="M62" s="56"/>
      <c r="N62" s="56"/>
      <c r="O62" s="56"/>
      <c r="P62" s="57"/>
      <c r="Q62" s="55"/>
      <c r="R62" s="55"/>
      <c r="S62" s="71"/>
      <c r="T62" s="73">
        <f>T57+T58+T59+T61</f>
        <v>1</v>
      </c>
    </row>
    <row r="63" spans="1:20" ht="18" customHeight="1" x14ac:dyDescent="0.2">
      <c r="A63" s="243" t="s">
        <v>89</v>
      </c>
      <c r="B63" s="249" t="s">
        <v>88</v>
      </c>
      <c r="C63" s="250"/>
      <c r="D63" s="250"/>
      <c r="E63" s="250"/>
      <c r="F63" s="250"/>
      <c r="G63" s="250"/>
      <c r="H63" s="250"/>
      <c r="I63" s="250"/>
      <c r="J63" s="237" t="s">
        <v>206</v>
      </c>
      <c r="K63" s="237"/>
      <c r="L63" s="237"/>
      <c r="M63" s="237"/>
      <c r="N63" s="237"/>
      <c r="O63" s="237"/>
      <c r="P63" s="50"/>
      <c r="Q63" s="50">
        <v>2</v>
      </c>
      <c r="R63" s="50"/>
      <c r="S63" s="50"/>
      <c r="T63" s="74">
        <f>P63+Q63+R63+S63</f>
        <v>2</v>
      </c>
    </row>
    <row r="64" spans="1:20" ht="10.5" customHeight="1" x14ac:dyDescent="0.2">
      <c r="A64" s="223"/>
      <c r="B64" s="251"/>
      <c r="C64" s="252"/>
      <c r="D64" s="252"/>
      <c r="E64" s="252"/>
      <c r="F64" s="252"/>
      <c r="G64" s="252"/>
      <c r="H64" s="252"/>
      <c r="I64" s="252"/>
      <c r="J64" s="238" t="s">
        <v>207</v>
      </c>
      <c r="K64" s="238"/>
      <c r="L64" s="238"/>
      <c r="M64" s="238"/>
      <c r="N64" s="238"/>
      <c r="O64" s="238"/>
      <c r="P64" s="51"/>
      <c r="Q64" s="51"/>
      <c r="R64" s="51"/>
      <c r="S64" s="51"/>
      <c r="T64" s="74">
        <f t="shared" ref="T64:T67" si="5">P64+Q64+R64+S64</f>
        <v>0</v>
      </c>
    </row>
    <row r="65" spans="1:20" ht="10.5" customHeight="1" x14ac:dyDescent="0.2">
      <c r="A65" s="223"/>
      <c r="B65" s="251"/>
      <c r="C65" s="252"/>
      <c r="D65" s="252"/>
      <c r="E65" s="252"/>
      <c r="F65" s="252"/>
      <c r="G65" s="252"/>
      <c r="H65" s="252"/>
      <c r="I65" s="252"/>
      <c r="J65" s="238" t="s">
        <v>208</v>
      </c>
      <c r="K65" s="238"/>
      <c r="L65" s="238"/>
      <c r="M65" s="238"/>
      <c r="N65" s="238"/>
      <c r="O65" s="238"/>
      <c r="P65" s="51"/>
      <c r="Q65" s="51"/>
      <c r="R65" s="51"/>
      <c r="S65" s="51"/>
      <c r="T65" s="74">
        <f t="shared" si="5"/>
        <v>0</v>
      </c>
    </row>
    <row r="66" spans="1:20" ht="10.5" customHeight="1" x14ac:dyDescent="0.2">
      <c r="A66" s="223"/>
      <c r="B66" s="251"/>
      <c r="C66" s="252"/>
      <c r="D66" s="252"/>
      <c r="E66" s="252"/>
      <c r="F66" s="252"/>
      <c r="G66" s="252"/>
      <c r="H66" s="252"/>
      <c r="I66" s="252"/>
      <c r="J66" s="238" t="s">
        <v>209</v>
      </c>
      <c r="K66" s="238"/>
      <c r="L66" s="238"/>
      <c r="M66" s="238"/>
      <c r="N66" s="238"/>
      <c r="O66" s="238"/>
      <c r="P66" s="51"/>
      <c r="Q66" s="51"/>
      <c r="R66" s="51"/>
      <c r="S66" s="51"/>
      <c r="T66" s="74">
        <f t="shared" si="5"/>
        <v>0</v>
      </c>
    </row>
    <row r="67" spans="1:20" ht="13.5" customHeight="1" x14ac:dyDescent="0.2">
      <c r="A67" s="244"/>
      <c r="B67" s="253"/>
      <c r="C67" s="254"/>
      <c r="D67" s="254"/>
      <c r="E67" s="254"/>
      <c r="F67" s="254"/>
      <c r="G67" s="254"/>
      <c r="H67" s="254"/>
      <c r="I67" s="254"/>
      <c r="J67" s="239" t="s">
        <v>210</v>
      </c>
      <c r="K67" s="239"/>
      <c r="L67" s="239"/>
      <c r="M67" s="239"/>
      <c r="N67" s="239"/>
      <c r="O67" s="239"/>
      <c r="P67" s="52"/>
      <c r="Q67" s="52"/>
      <c r="R67" s="52"/>
      <c r="S67" s="52"/>
      <c r="T67" s="74">
        <f t="shared" si="5"/>
        <v>0</v>
      </c>
    </row>
    <row r="68" spans="1:20" ht="21.75" customHeight="1" x14ac:dyDescent="0.2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56"/>
      <c r="M68" s="56"/>
      <c r="N68" s="56"/>
      <c r="O68" s="56"/>
      <c r="P68" s="57"/>
      <c r="Q68" s="55"/>
      <c r="R68" s="55"/>
      <c r="S68" s="71"/>
      <c r="T68" s="114">
        <f>T63+T64+T66+T67</f>
        <v>2</v>
      </c>
    </row>
    <row r="69" spans="1:20" ht="12" customHeight="1" x14ac:dyDescent="0.2">
      <c r="A69" s="243" t="s">
        <v>87</v>
      </c>
      <c r="B69" s="255" t="s">
        <v>90</v>
      </c>
      <c r="C69" s="255"/>
      <c r="D69" s="255"/>
      <c r="E69" s="255"/>
      <c r="F69" s="255"/>
      <c r="G69" s="255"/>
      <c r="H69" s="255"/>
      <c r="I69" s="255"/>
      <c r="J69" s="237" t="s">
        <v>207</v>
      </c>
      <c r="K69" s="237"/>
      <c r="L69" s="237"/>
      <c r="M69" s="237"/>
      <c r="N69" s="237"/>
      <c r="O69" s="237"/>
      <c r="P69" s="50"/>
      <c r="Q69" s="50"/>
      <c r="R69" s="50"/>
      <c r="S69" s="69"/>
      <c r="T69" s="115">
        <f>P69+Q69+R69+S69</f>
        <v>0</v>
      </c>
    </row>
    <row r="70" spans="1:20" ht="12" customHeight="1" x14ac:dyDescent="0.2">
      <c r="A70" s="223"/>
      <c r="B70" s="219"/>
      <c r="C70" s="219"/>
      <c r="D70" s="219"/>
      <c r="E70" s="219"/>
      <c r="F70" s="219"/>
      <c r="G70" s="219"/>
      <c r="H70" s="219"/>
      <c r="I70" s="219"/>
      <c r="J70" s="238" t="s">
        <v>211</v>
      </c>
      <c r="K70" s="238"/>
      <c r="L70" s="238"/>
      <c r="M70" s="238"/>
      <c r="N70" s="238"/>
      <c r="O70" s="238"/>
      <c r="P70" s="16"/>
      <c r="Q70" s="116"/>
      <c r="R70" s="51"/>
      <c r="S70" s="117"/>
      <c r="T70" s="115">
        <f t="shared" ref="T70:T72" si="6">P70+Q70+R70+S70</f>
        <v>0</v>
      </c>
    </row>
    <row r="71" spans="1:20" ht="12" customHeight="1" x14ac:dyDescent="0.2">
      <c r="A71" s="223"/>
      <c r="B71" s="219"/>
      <c r="C71" s="219"/>
      <c r="D71" s="219"/>
      <c r="E71" s="219"/>
      <c r="F71" s="219"/>
      <c r="G71" s="219"/>
      <c r="H71" s="219"/>
      <c r="I71" s="219"/>
      <c r="J71" s="238" t="s">
        <v>203</v>
      </c>
      <c r="K71" s="238"/>
      <c r="L71" s="238"/>
      <c r="M71" s="238"/>
      <c r="N71" s="238"/>
      <c r="O71" s="238"/>
      <c r="P71" s="16"/>
      <c r="Q71" s="116"/>
      <c r="R71" s="51"/>
      <c r="S71" s="117"/>
      <c r="T71" s="115">
        <f t="shared" si="6"/>
        <v>0</v>
      </c>
    </row>
    <row r="72" spans="1:20" ht="12" customHeight="1" x14ac:dyDescent="0.2">
      <c r="A72" s="244"/>
      <c r="B72" s="256"/>
      <c r="C72" s="256"/>
      <c r="D72" s="256"/>
      <c r="E72" s="256"/>
      <c r="F72" s="256"/>
      <c r="G72" s="256"/>
      <c r="H72" s="256"/>
      <c r="I72" s="256"/>
      <c r="J72" s="239" t="s">
        <v>212</v>
      </c>
      <c r="K72" s="239"/>
      <c r="L72" s="239"/>
      <c r="M72" s="239"/>
      <c r="N72" s="239"/>
      <c r="O72" s="239"/>
      <c r="P72" s="96"/>
      <c r="Q72" s="118"/>
      <c r="R72" s="52"/>
      <c r="S72" s="119"/>
      <c r="T72" s="115">
        <f t="shared" si="6"/>
        <v>0</v>
      </c>
    </row>
    <row r="73" spans="1:20" ht="9.75" customHeight="1" x14ac:dyDescent="0.2">
      <c r="A73" s="37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56"/>
      <c r="M73" s="56"/>
      <c r="N73" s="56"/>
      <c r="O73" s="56"/>
      <c r="P73" s="97"/>
      <c r="Q73" s="120"/>
      <c r="R73" s="121"/>
      <c r="S73" s="121"/>
      <c r="T73" s="122">
        <f>T69+T70+T71+T72</f>
        <v>0</v>
      </c>
    </row>
    <row r="74" spans="1:20" ht="21.75" customHeight="1" x14ac:dyDescent="0.2">
      <c r="A74" s="246" t="s">
        <v>213</v>
      </c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8"/>
      <c r="T74" s="123">
        <f>T44+T50+T62+T73</f>
        <v>8</v>
      </c>
    </row>
    <row r="75" spans="1:20" ht="9" customHeight="1" x14ac:dyDescent="0.2">
      <c r="A75" s="364" t="s">
        <v>214</v>
      </c>
      <c r="B75" s="365"/>
      <c r="C75" s="366"/>
      <c r="D75" s="370" t="s">
        <v>14</v>
      </c>
      <c r="E75" s="371"/>
      <c r="F75" s="371"/>
      <c r="G75" s="371"/>
      <c r="H75" s="365"/>
      <c r="I75" s="365"/>
      <c r="J75" s="365"/>
      <c r="K75" s="366"/>
      <c r="L75" s="220" t="s">
        <v>185</v>
      </c>
      <c r="M75" s="220"/>
      <c r="N75" s="226" t="s">
        <v>186</v>
      </c>
      <c r="O75" s="226"/>
      <c r="P75" s="240" t="s">
        <v>187</v>
      </c>
      <c r="Q75" s="240"/>
      <c r="R75" s="241" t="s">
        <v>188</v>
      </c>
      <c r="S75" s="242"/>
      <c r="T75" s="314" t="s">
        <v>215</v>
      </c>
    </row>
    <row r="76" spans="1:20" ht="17.25" customHeight="1" x14ac:dyDescent="0.2">
      <c r="A76" s="367"/>
      <c r="B76" s="368"/>
      <c r="C76" s="369"/>
      <c r="D76" s="372"/>
      <c r="E76" s="368"/>
      <c r="F76" s="368"/>
      <c r="G76" s="368"/>
      <c r="H76" s="368"/>
      <c r="I76" s="368"/>
      <c r="J76" s="368"/>
      <c r="K76" s="369"/>
      <c r="L76" s="47" t="s">
        <v>216</v>
      </c>
      <c r="M76" s="47" t="s">
        <v>217</v>
      </c>
      <c r="N76" s="47" t="s">
        <v>216</v>
      </c>
      <c r="O76" s="47" t="s">
        <v>217</v>
      </c>
      <c r="P76" s="18" t="s">
        <v>216</v>
      </c>
      <c r="Q76" s="18" t="s">
        <v>217</v>
      </c>
      <c r="R76" s="18" t="s">
        <v>216</v>
      </c>
      <c r="S76" s="18" t="s">
        <v>217</v>
      </c>
      <c r="T76" s="315"/>
    </row>
    <row r="77" spans="1:20" ht="11.25" customHeight="1" x14ac:dyDescent="0.2">
      <c r="A77" s="223" t="s">
        <v>71</v>
      </c>
      <c r="B77" s="360" t="s">
        <v>218</v>
      </c>
      <c r="C77" s="361"/>
      <c r="D77" s="209" t="s">
        <v>219</v>
      </c>
      <c r="E77" s="209"/>
      <c r="F77" s="209"/>
      <c r="G77" s="209"/>
      <c r="H77" s="209"/>
      <c r="I77" s="209"/>
      <c r="J77" s="209"/>
      <c r="K77" s="209"/>
      <c r="L77" s="98"/>
      <c r="M77" s="98"/>
      <c r="N77" s="99"/>
      <c r="O77" s="99"/>
      <c r="P77" s="51"/>
      <c r="Q77" s="51"/>
      <c r="R77" s="51">
        <v>5</v>
      </c>
      <c r="S77" s="51"/>
      <c r="T77" s="117">
        <f>L77+M77+N77+O77+P77+Q77+R77+S77</f>
        <v>5</v>
      </c>
    </row>
    <row r="78" spans="1:20" ht="11.25" customHeight="1" x14ac:dyDescent="0.2">
      <c r="A78" s="223"/>
      <c r="B78" s="362"/>
      <c r="C78" s="363"/>
      <c r="D78" s="209" t="s">
        <v>220</v>
      </c>
      <c r="E78" s="209"/>
      <c r="F78" s="209"/>
      <c r="G78" s="209"/>
      <c r="H78" s="209"/>
      <c r="I78" s="209"/>
      <c r="J78" s="209"/>
      <c r="K78" s="209"/>
      <c r="L78" s="98"/>
      <c r="M78" s="98"/>
      <c r="N78" s="99"/>
      <c r="O78" s="99"/>
      <c r="P78" s="51"/>
      <c r="Q78" s="51"/>
      <c r="R78" s="51"/>
      <c r="S78" s="51"/>
      <c r="T78" s="117">
        <f t="shared" ref="T78:T81" si="7">L78+M78+N78+O78+P78+Q78+R78+S78</f>
        <v>0</v>
      </c>
    </row>
    <row r="79" spans="1:20" ht="11.25" customHeight="1" x14ac:dyDescent="0.2">
      <c r="A79" s="223"/>
      <c r="B79" s="362"/>
      <c r="C79" s="363"/>
      <c r="D79" s="209" t="s">
        <v>221</v>
      </c>
      <c r="E79" s="209"/>
      <c r="F79" s="209"/>
      <c r="G79" s="209"/>
      <c r="H79" s="209"/>
      <c r="I79" s="209"/>
      <c r="J79" s="209"/>
      <c r="K79" s="209"/>
      <c r="L79" s="98"/>
      <c r="M79" s="98"/>
      <c r="N79" s="99"/>
      <c r="O79" s="99"/>
      <c r="P79" s="51"/>
      <c r="Q79" s="51"/>
      <c r="R79" s="51"/>
      <c r="S79" s="51"/>
      <c r="T79" s="117">
        <f t="shared" si="7"/>
        <v>0</v>
      </c>
    </row>
    <row r="80" spans="1:20" ht="11.25" customHeight="1" x14ac:dyDescent="0.2">
      <c r="A80" s="223"/>
      <c r="B80" s="362"/>
      <c r="C80" s="363"/>
      <c r="D80" s="209" t="s">
        <v>222</v>
      </c>
      <c r="E80" s="209"/>
      <c r="F80" s="209"/>
      <c r="G80" s="209"/>
      <c r="H80" s="209"/>
      <c r="I80" s="209"/>
      <c r="J80" s="209"/>
      <c r="K80" s="209"/>
      <c r="L80" s="98"/>
      <c r="M80" s="98"/>
      <c r="N80" s="99"/>
      <c r="O80" s="99"/>
      <c r="P80" s="51"/>
      <c r="Q80" s="51"/>
      <c r="R80" s="51"/>
      <c r="S80" s="51"/>
      <c r="T80" s="117">
        <f t="shared" si="7"/>
        <v>0</v>
      </c>
    </row>
    <row r="81" spans="1:20" ht="11.25" customHeight="1" x14ac:dyDescent="0.2">
      <c r="A81" s="223"/>
      <c r="B81" s="362"/>
      <c r="C81" s="363"/>
      <c r="D81" s="219" t="s">
        <v>223</v>
      </c>
      <c r="E81" s="219"/>
      <c r="F81" s="219"/>
      <c r="G81" s="219"/>
      <c r="H81" s="219"/>
      <c r="I81" s="219"/>
      <c r="J81" s="219"/>
      <c r="K81" s="219"/>
      <c r="L81" s="98"/>
      <c r="M81" s="98"/>
      <c r="N81" s="16"/>
      <c r="O81" s="16"/>
      <c r="P81" s="16"/>
      <c r="Q81" s="116"/>
      <c r="R81" s="51"/>
      <c r="S81" s="51"/>
      <c r="T81" s="117">
        <f t="shared" si="7"/>
        <v>0</v>
      </c>
    </row>
    <row r="82" spans="1:20" ht="23.25" customHeight="1" x14ac:dyDescent="0.2">
      <c r="A82" s="76"/>
      <c r="B82" s="77"/>
      <c r="C82" s="78"/>
      <c r="D82" s="40"/>
      <c r="E82" s="41"/>
      <c r="F82" s="41"/>
      <c r="G82" s="41"/>
      <c r="H82" s="41"/>
      <c r="I82" s="41"/>
      <c r="J82" s="41"/>
      <c r="K82" s="41"/>
      <c r="L82" s="41"/>
      <c r="M82" s="100"/>
      <c r="N82" s="97"/>
      <c r="O82" s="97"/>
      <c r="P82" s="97"/>
      <c r="Q82" s="120"/>
      <c r="R82" s="124"/>
      <c r="S82" s="125"/>
      <c r="T82" s="70">
        <f>T77+T78+T79+T80+T81</f>
        <v>5</v>
      </c>
    </row>
    <row r="83" spans="1:20" ht="15" customHeight="1" thickBot="1" x14ac:dyDescent="0.25">
      <c r="A83" s="243" t="s">
        <v>79</v>
      </c>
      <c r="B83" s="324" t="s">
        <v>224</v>
      </c>
      <c r="C83" s="325"/>
      <c r="D83" s="298" t="s">
        <v>225</v>
      </c>
      <c r="E83" s="298"/>
      <c r="F83" s="298"/>
      <c r="G83" s="298"/>
      <c r="H83" s="298"/>
      <c r="I83" s="298"/>
      <c r="J83" s="298"/>
      <c r="K83" s="298"/>
      <c r="L83" s="101"/>
      <c r="M83" s="101"/>
      <c r="N83" s="102"/>
      <c r="O83" s="102"/>
      <c r="P83" s="102"/>
      <c r="Q83" s="126"/>
      <c r="R83" s="126">
        <v>5</v>
      </c>
      <c r="S83" s="126"/>
      <c r="T83" s="69">
        <f>L83+M83+N83+O83+P83+Q83+R83+S83</f>
        <v>5</v>
      </c>
    </row>
    <row r="84" spans="1:20" ht="15" customHeight="1" thickBot="1" x14ac:dyDescent="0.25">
      <c r="A84" s="223"/>
      <c r="B84" s="331"/>
      <c r="C84" s="331"/>
      <c r="D84" s="209" t="s">
        <v>226</v>
      </c>
      <c r="E84" s="209"/>
      <c r="F84" s="209"/>
      <c r="G84" s="209"/>
      <c r="H84" s="209"/>
      <c r="I84" s="209"/>
      <c r="J84" s="209"/>
      <c r="K84" s="209"/>
      <c r="L84" s="101"/>
      <c r="M84" s="98"/>
      <c r="N84" s="16"/>
      <c r="O84" s="16"/>
      <c r="P84" s="16"/>
      <c r="Q84" s="116"/>
      <c r="R84" s="116"/>
      <c r="S84" s="116"/>
      <c r="T84" s="69">
        <f t="shared" ref="T84:T87" si="8">L84+M84+N84+O84+P84+Q84+R84+S84</f>
        <v>0</v>
      </c>
    </row>
    <row r="85" spans="1:20" ht="15" customHeight="1" thickBot="1" x14ac:dyDescent="0.25">
      <c r="A85" s="223"/>
      <c r="B85" s="331"/>
      <c r="C85" s="331"/>
      <c r="D85" s="209" t="s">
        <v>227</v>
      </c>
      <c r="E85" s="209"/>
      <c r="F85" s="209"/>
      <c r="G85" s="209"/>
      <c r="H85" s="209"/>
      <c r="I85" s="209"/>
      <c r="J85" s="209"/>
      <c r="K85" s="209"/>
      <c r="L85" s="101"/>
      <c r="M85" s="98"/>
      <c r="N85" s="16"/>
      <c r="O85" s="16"/>
      <c r="P85" s="16"/>
      <c r="Q85" s="116"/>
      <c r="R85" s="116"/>
      <c r="S85" s="116"/>
      <c r="T85" s="69">
        <f t="shared" si="8"/>
        <v>0</v>
      </c>
    </row>
    <row r="86" spans="1:20" ht="15" customHeight="1" thickBot="1" x14ac:dyDescent="0.25">
      <c r="A86" s="223"/>
      <c r="B86" s="331"/>
      <c r="C86" s="331"/>
      <c r="D86" s="209" t="s">
        <v>228</v>
      </c>
      <c r="E86" s="209"/>
      <c r="F86" s="209"/>
      <c r="G86" s="209"/>
      <c r="H86" s="209"/>
      <c r="I86" s="209"/>
      <c r="J86" s="209"/>
      <c r="K86" s="209"/>
      <c r="L86" s="98"/>
      <c r="M86" s="98"/>
      <c r="N86" s="16"/>
      <c r="O86" s="16"/>
      <c r="P86" s="16"/>
      <c r="Q86" s="116"/>
      <c r="R86" s="116"/>
      <c r="S86" s="116"/>
      <c r="T86" s="69">
        <f t="shared" si="8"/>
        <v>0</v>
      </c>
    </row>
    <row r="87" spans="1:20" ht="15" customHeight="1" x14ac:dyDescent="0.2">
      <c r="A87" s="244"/>
      <c r="B87" s="326"/>
      <c r="C87" s="326"/>
      <c r="D87" s="256" t="s">
        <v>229</v>
      </c>
      <c r="E87" s="256"/>
      <c r="F87" s="256"/>
      <c r="G87" s="256"/>
      <c r="H87" s="256"/>
      <c r="I87" s="256"/>
      <c r="J87" s="256"/>
      <c r="K87" s="256"/>
      <c r="L87" s="103"/>
      <c r="M87" s="103"/>
      <c r="N87" s="96"/>
      <c r="O87" s="96"/>
      <c r="P87" s="96"/>
      <c r="Q87" s="118"/>
      <c r="R87" s="118"/>
      <c r="S87" s="118"/>
      <c r="T87" s="69">
        <f t="shared" si="8"/>
        <v>0</v>
      </c>
    </row>
    <row r="88" spans="1:20" ht="19.5" customHeight="1" x14ac:dyDescent="0.2">
      <c r="A88" s="76"/>
      <c r="B88" s="77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97"/>
      <c r="O88" s="97"/>
      <c r="P88" s="97"/>
      <c r="Q88" s="120"/>
      <c r="R88" s="124"/>
      <c r="S88" s="125"/>
      <c r="T88" s="127">
        <f>T83+T84+T85+T86+T87</f>
        <v>5</v>
      </c>
    </row>
    <row r="89" spans="1:20" ht="12" customHeight="1" x14ac:dyDescent="0.2">
      <c r="A89" s="243" t="s">
        <v>81</v>
      </c>
      <c r="B89" s="324" t="s">
        <v>100</v>
      </c>
      <c r="C89" s="324"/>
      <c r="D89" s="298" t="s">
        <v>230</v>
      </c>
      <c r="E89" s="298"/>
      <c r="F89" s="298"/>
      <c r="G89" s="298"/>
      <c r="H89" s="298"/>
      <c r="I89" s="298"/>
      <c r="J89" s="298"/>
      <c r="K89" s="298"/>
      <c r="L89" s="101">
        <v>1</v>
      </c>
      <c r="M89" s="101"/>
      <c r="N89" s="102"/>
      <c r="O89" s="102"/>
      <c r="P89" s="102"/>
      <c r="Q89" s="126"/>
      <c r="R89" s="126"/>
      <c r="S89" s="126"/>
      <c r="T89" s="128">
        <f>L89+M89+N89+O89+P89+Q89+R89+S89</f>
        <v>1</v>
      </c>
    </row>
    <row r="90" spans="1:20" ht="12" customHeight="1" x14ac:dyDescent="0.2">
      <c r="A90" s="223"/>
      <c r="B90" s="224"/>
      <c r="C90" s="224"/>
      <c r="D90" s="209" t="s">
        <v>231</v>
      </c>
      <c r="E90" s="209"/>
      <c r="F90" s="209"/>
      <c r="G90" s="209"/>
      <c r="H90" s="209"/>
      <c r="I90" s="209"/>
      <c r="J90" s="209"/>
      <c r="K90" s="209"/>
      <c r="L90" s="98"/>
      <c r="M90" s="98"/>
      <c r="N90" s="16"/>
      <c r="O90" s="16"/>
      <c r="P90" s="16"/>
      <c r="Q90" s="116"/>
      <c r="R90" s="116"/>
      <c r="S90" s="116"/>
      <c r="T90" s="128">
        <f t="shared" ref="T90:T92" si="9">L90+M90+N90+O90+P90+Q90+R90+S90</f>
        <v>0</v>
      </c>
    </row>
    <row r="91" spans="1:20" ht="12" customHeight="1" x14ac:dyDescent="0.2">
      <c r="A91" s="223"/>
      <c r="B91" s="224"/>
      <c r="C91" s="224"/>
      <c r="D91" s="209" t="s">
        <v>232</v>
      </c>
      <c r="E91" s="209"/>
      <c r="F91" s="209"/>
      <c r="G91" s="209"/>
      <c r="H91" s="209"/>
      <c r="I91" s="209"/>
      <c r="J91" s="209"/>
      <c r="K91" s="209"/>
      <c r="L91" s="98"/>
      <c r="M91" s="98"/>
      <c r="N91" s="16"/>
      <c r="O91" s="16"/>
      <c r="P91" s="16"/>
      <c r="Q91" s="116"/>
      <c r="R91" s="116"/>
      <c r="S91" s="116"/>
      <c r="T91" s="128">
        <f t="shared" si="9"/>
        <v>0</v>
      </c>
    </row>
    <row r="92" spans="1:20" ht="12" customHeight="1" x14ac:dyDescent="0.2">
      <c r="A92" s="244"/>
      <c r="B92" s="359"/>
      <c r="C92" s="359"/>
      <c r="D92" s="286" t="s">
        <v>233</v>
      </c>
      <c r="E92" s="286"/>
      <c r="F92" s="286"/>
      <c r="G92" s="286"/>
      <c r="H92" s="286"/>
      <c r="I92" s="286"/>
      <c r="J92" s="286"/>
      <c r="K92" s="286"/>
      <c r="L92" s="104"/>
      <c r="M92" s="104"/>
      <c r="N92" s="96"/>
      <c r="O92" s="96"/>
      <c r="P92" s="96"/>
      <c r="Q92" s="118"/>
      <c r="R92" s="118"/>
      <c r="S92" s="118"/>
      <c r="T92" s="128">
        <f t="shared" si="9"/>
        <v>0</v>
      </c>
    </row>
    <row r="93" spans="1:20" ht="12" customHeight="1" x14ac:dyDescent="0.2">
      <c r="A93" s="37"/>
      <c r="B93" s="80"/>
      <c r="C93" s="39"/>
      <c r="D93" s="81"/>
      <c r="E93" s="81"/>
      <c r="F93" s="81"/>
      <c r="G93" s="81"/>
      <c r="H93" s="81"/>
      <c r="I93" s="105"/>
      <c r="J93" s="105"/>
      <c r="K93" s="105"/>
      <c r="L93" s="81"/>
      <c r="M93" s="81"/>
      <c r="N93" s="97"/>
      <c r="O93" s="97"/>
      <c r="P93" s="97"/>
      <c r="Q93" s="75"/>
      <c r="R93" s="121"/>
      <c r="S93" s="124"/>
      <c r="T93" s="129">
        <f>T89+T90+T91+T92</f>
        <v>1</v>
      </c>
    </row>
    <row r="94" spans="1:20" ht="12.75" customHeight="1" x14ac:dyDescent="0.2">
      <c r="A94" s="296" t="s">
        <v>87</v>
      </c>
      <c r="B94" s="358" t="s">
        <v>101</v>
      </c>
      <c r="C94" s="358"/>
      <c r="D94" s="298" t="s">
        <v>234</v>
      </c>
      <c r="E94" s="298"/>
      <c r="F94" s="298"/>
      <c r="G94" s="298"/>
      <c r="H94" s="298"/>
      <c r="I94" s="298"/>
      <c r="J94" s="298"/>
      <c r="K94" s="298"/>
      <c r="L94" s="101"/>
      <c r="M94" s="101"/>
      <c r="N94" s="102"/>
      <c r="O94" s="102"/>
      <c r="P94" s="102"/>
      <c r="Q94" s="126"/>
      <c r="R94" s="126"/>
      <c r="S94" s="126"/>
      <c r="T94" s="128">
        <f>L94+M94+N94+O94+P94+Q94+R94+S94</f>
        <v>0</v>
      </c>
    </row>
    <row r="95" spans="1:20" ht="12.75" customHeight="1" x14ac:dyDescent="0.2">
      <c r="A95" s="297"/>
      <c r="B95" s="343"/>
      <c r="C95" s="343"/>
      <c r="D95" s="286"/>
      <c r="E95" s="286"/>
      <c r="F95" s="286"/>
      <c r="G95" s="286"/>
      <c r="H95" s="286"/>
      <c r="I95" s="286"/>
      <c r="J95" s="286"/>
      <c r="K95" s="286"/>
      <c r="L95" s="106"/>
      <c r="M95" s="106"/>
      <c r="N95" s="96"/>
      <c r="O95" s="96"/>
      <c r="P95" s="96"/>
      <c r="Q95" s="118"/>
      <c r="R95" s="118"/>
      <c r="S95" s="118"/>
      <c r="T95" s="130"/>
    </row>
    <row r="96" spans="1:20" ht="0.75" customHeight="1" x14ac:dyDescent="0.2">
      <c r="A96" s="82"/>
      <c r="B96" s="83"/>
      <c r="C96" s="8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97"/>
      <c r="O96" s="97"/>
      <c r="P96" s="97"/>
      <c r="Q96" s="75"/>
      <c r="R96" s="131"/>
      <c r="S96" s="131"/>
      <c r="T96" s="132">
        <f>T94+T95</f>
        <v>0</v>
      </c>
    </row>
    <row r="97" spans="1:20" ht="15.75" customHeight="1" x14ac:dyDescent="0.2">
      <c r="A97" s="85" t="s">
        <v>89</v>
      </c>
      <c r="B97" s="299" t="s">
        <v>102</v>
      </c>
      <c r="C97" s="300"/>
      <c r="D97" s="301" t="s">
        <v>235</v>
      </c>
      <c r="E97" s="301"/>
      <c r="F97" s="301"/>
      <c r="G97" s="301"/>
      <c r="H97" s="301"/>
      <c r="I97" s="301"/>
      <c r="J97" s="301"/>
      <c r="K97" s="301"/>
      <c r="L97" s="107"/>
      <c r="M97" s="107"/>
      <c r="N97" s="108"/>
      <c r="O97" s="108"/>
      <c r="P97" s="108"/>
      <c r="Q97" s="133"/>
      <c r="R97" s="133"/>
      <c r="S97" s="133"/>
      <c r="T97" s="134">
        <f>L97+M97+N97+O97+P97+Q97+R97+S97</f>
        <v>0</v>
      </c>
    </row>
    <row r="98" spans="1:20" ht="12.75" customHeight="1" x14ac:dyDescent="0.2">
      <c r="A98" s="302" t="s">
        <v>236</v>
      </c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89"/>
      <c r="T98" s="134">
        <f>T82+T88+T93+T94+T97</f>
        <v>11</v>
      </c>
    </row>
    <row r="99" spans="1:20" ht="24" customHeight="1" x14ac:dyDescent="0.2">
      <c r="A99" s="304" t="s">
        <v>237</v>
      </c>
      <c r="B99" s="305"/>
      <c r="C99" s="305"/>
      <c r="D99" s="305"/>
      <c r="E99" s="305"/>
      <c r="F99" s="306"/>
      <c r="G99" s="307" t="s">
        <v>184</v>
      </c>
      <c r="H99" s="216"/>
      <c r="I99" s="216"/>
      <c r="J99" s="216"/>
      <c r="K99" s="216"/>
      <c r="L99" s="216"/>
      <c r="M99" s="216"/>
      <c r="N99" s="216"/>
      <c r="O99" s="216"/>
      <c r="P99" s="50" t="s">
        <v>185</v>
      </c>
      <c r="Q99" s="50" t="s">
        <v>186</v>
      </c>
      <c r="R99" s="50" t="s">
        <v>187</v>
      </c>
      <c r="S99" s="50" t="s">
        <v>188</v>
      </c>
      <c r="T99" s="69" t="s">
        <v>165</v>
      </c>
    </row>
    <row r="100" spans="1:20" ht="12" customHeight="1" x14ac:dyDescent="0.2">
      <c r="A100" s="19" t="s">
        <v>238</v>
      </c>
      <c r="B100" s="308" t="s">
        <v>239</v>
      </c>
      <c r="C100" s="257"/>
      <c r="D100" s="257"/>
      <c r="E100" s="257"/>
      <c r="F100" s="257"/>
      <c r="G100" s="257" t="s">
        <v>240</v>
      </c>
      <c r="H100" s="257"/>
      <c r="I100" s="257"/>
      <c r="J100" s="257"/>
      <c r="K100" s="257"/>
      <c r="L100" s="257"/>
      <c r="M100" s="257"/>
      <c r="N100" s="257"/>
      <c r="O100" s="257"/>
      <c r="P100" s="16"/>
      <c r="Q100" s="116">
        <v>1</v>
      </c>
      <c r="R100" s="116">
        <v>1</v>
      </c>
      <c r="S100" s="116"/>
      <c r="T100" s="135">
        <f>P100+Q100+R100+S100</f>
        <v>2</v>
      </c>
    </row>
    <row r="101" spans="1:20" ht="9.75" customHeight="1" x14ac:dyDescent="0.2">
      <c r="A101" s="223" t="s">
        <v>241</v>
      </c>
      <c r="B101" s="262" t="s">
        <v>242</v>
      </c>
      <c r="C101" s="263"/>
      <c r="D101" s="263"/>
      <c r="E101" s="263"/>
      <c r="F101" s="263"/>
      <c r="G101" s="257" t="s">
        <v>243</v>
      </c>
      <c r="H101" s="257"/>
      <c r="I101" s="257"/>
      <c r="J101" s="257"/>
      <c r="K101" s="257"/>
      <c r="L101" s="257"/>
      <c r="M101" s="257"/>
      <c r="N101" s="257"/>
      <c r="O101" s="257"/>
      <c r="P101" s="16"/>
      <c r="Q101" s="116"/>
      <c r="R101" s="116"/>
      <c r="S101" s="116"/>
      <c r="T101" s="135">
        <f t="shared" ref="T101:T103" si="10">P101+Q101+R101+S101</f>
        <v>0</v>
      </c>
    </row>
    <row r="102" spans="1:20" ht="9.75" customHeight="1" x14ac:dyDescent="0.2">
      <c r="A102" s="223"/>
      <c r="B102" s="263"/>
      <c r="C102" s="263"/>
      <c r="D102" s="263"/>
      <c r="E102" s="263"/>
      <c r="F102" s="263"/>
      <c r="G102" s="257" t="s">
        <v>244</v>
      </c>
      <c r="H102" s="257"/>
      <c r="I102" s="257"/>
      <c r="J102" s="257"/>
      <c r="K102" s="257"/>
      <c r="L102" s="257"/>
      <c r="M102" s="257"/>
      <c r="N102" s="257"/>
      <c r="O102" s="257"/>
      <c r="P102" s="16"/>
      <c r="Q102" s="116"/>
      <c r="R102" s="116"/>
      <c r="S102" s="116"/>
      <c r="T102" s="135">
        <f t="shared" si="10"/>
        <v>0</v>
      </c>
    </row>
    <row r="103" spans="1:20" ht="9.75" customHeight="1" x14ac:dyDescent="0.2">
      <c r="A103" s="223"/>
      <c r="B103" s="263"/>
      <c r="C103" s="263"/>
      <c r="D103" s="263"/>
      <c r="E103" s="263"/>
      <c r="F103" s="263"/>
      <c r="G103" s="257" t="s">
        <v>245</v>
      </c>
      <c r="H103" s="257"/>
      <c r="I103" s="257"/>
      <c r="J103" s="257"/>
      <c r="K103" s="257"/>
      <c r="L103" s="257"/>
      <c r="M103" s="257"/>
      <c r="N103" s="257"/>
      <c r="O103" s="257"/>
      <c r="P103" s="16"/>
      <c r="Q103" s="116"/>
      <c r="R103" s="116"/>
      <c r="S103" s="116"/>
      <c r="T103" s="135">
        <f t="shared" si="10"/>
        <v>0</v>
      </c>
    </row>
    <row r="104" spans="1:20" ht="9" customHeight="1" x14ac:dyDescent="0.2">
      <c r="A104" s="19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23"/>
      <c r="M104" s="23"/>
      <c r="N104" s="23"/>
      <c r="O104" s="23"/>
      <c r="P104" s="16"/>
      <c r="Q104" s="116"/>
      <c r="R104" s="136"/>
      <c r="S104" s="136"/>
      <c r="T104" s="137">
        <f>T100+T101+T102+T103</f>
        <v>2</v>
      </c>
    </row>
    <row r="105" spans="1:20" ht="9.75" customHeight="1" x14ac:dyDescent="0.2">
      <c r="A105" s="223" t="s">
        <v>246</v>
      </c>
      <c r="B105" s="262" t="s">
        <v>247</v>
      </c>
      <c r="C105" s="263"/>
      <c r="D105" s="263"/>
      <c r="E105" s="263"/>
      <c r="F105" s="263"/>
      <c r="G105" s="238" t="s">
        <v>248</v>
      </c>
      <c r="H105" s="238"/>
      <c r="I105" s="238"/>
      <c r="J105" s="238"/>
      <c r="K105" s="238"/>
      <c r="L105" s="238"/>
      <c r="M105" s="238"/>
      <c r="N105" s="238"/>
      <c r="O105" s="238"/>
      <c r="P105" s="16"/>
      <c r="Q105" s="116"/>
      <c r="R105" s="116"/>
      <c r="S105" s="116"/>
      <c r="T105" s="135">
        <f>P105+Q105+R105+S105</f>
        <v>0</v>
      </c>
    </row>
    <row r="106" spans="1:20" ht="9.75" customHeight="1" x14ac:dyDescent="0.2">
      <c r="A106" s="223"/>
      <c r="B106" s="263"/>
      <c r="C106" s="263"/>
      <c r="D106" s="263"/>
      <c r="E106" s="263"/>
      <c r="F106" s="263"/>
      <c r="G106" s="238" t="s">
        <v>249</v>
      </c>
      <c r="H106" s="238"/>
      <c r="I106" s="238"/>
      <c r="J106" s="238"/>
      <c r="K106" s="238"/>
      <c r="L106" s="238"/>
      <c r="M106" s="238"/>
      <c r="N106" s="238"/>
      <c r="O106" s="238"/>
      <c r="P106" s="16">
        <v>1</v>
      </c>
      <c r="Q106" s="116"/>
      <c r="R106" s="116"/>
      <c r="S106" s="116"/>
      <c r="T106" s="135">
        <f t="shared" ref="T106:T112" si="11">P106+Q106+R106+S106</f>
        <v>1</v>
      </c>
    </row>
    <row r="107" spans="1:20" ht="9.75" customHeight="1" x14ac:dyDescent="0.2">
      <c r="A107" s="223"/>
      <c r="B107" s="263"/>
      <c r="C107" s="263"/>
      <c r="D107" s="263"/>
      <c r="E107" s="263"/>
      <c r="F107" s="263"/>
      <c r="G107" s="238" t="s">
        <v>250</v>
      </c>
      <c r="H107" s="238"/>
      <c r="I107" s="238"/>
      <c r="J107" s="238"/>
      <c r="K107" s="238"/>
      <c r="L107" s="238"/>
      <c r="M107" s="238"/>
      <c r="N107" s="238"/>
      <c r="O107" s="238"/>
      <c r="P107" s="16"/>
      <c r="Q107" s="116"/>
      <c r="R107" s="116"/>
      <c r="S107" s="116"/>
      <c r="T107" s="135">
        <f t="shared" si="11"/>
        <v>0</v>
      </c>
    </row>
    <row r="108" spans="1:20" ht="9.75" customHeight="1" x14ac:dyDescent="0.2">
      <c r="A108" s="223"/>
      <c r="B108" s="263"/>
      <c r="C108" s="263"/>
      <c r="D108" s="263"/>
      <c r="E108" s="263"/>
      <c r="F108" s="263"/>
      <c r="G108" s="238" t="s">
        <v>251</v>
      </c>
      <c r="H108" s="238"/>
      <c r="I108" s="238"/>
      <c r="J108" s="238"/>
      <c r="K108" s="238"/>
      <c r="L108" s="238"/>
      <c r="M108" s="238"/>
      <c r="N108" s="238"/>
      <c r="O108" s="238"/>
      <c r="P108" s="16">
        <v>1</v>
      </c>
      <c r="Q108" s="116"/>
      <c r="R108" s="116"/>
      <c r="S108" s="116"/>
      <c r="T108" s="135">
        <f t="shared" si="11"/>
        <v>1</v>
      </c>
    </row>
    <row r="109" spans="1:20" ht="9.75" customHeight="1" x14ac:dyDescent="0.2">
      <c r="A109" s="223"/>
      <c r="B109" s="263"/>
      <c r="C109" s="263"/>
      <c r="D109" s="263"/>
      <c r="E109" s="263"/>
      <c r="F109" s="263"/>
      <c r="G109" s="238" t="s">
        <v>252</v>
      </c>
      <c r="H109" s="238"/>
      <c r="I109" s="238"/>
      <c r="J109" s="238"/>
      <c r="K109" s="238"/>
      <c r="L109" s="238"/>
      <c r="M109" s="238"/>
      <c r="N109" s="238"/>
      <c r="O109" s="238"/>
      <c r="P109" s="16"/>
      <c r="Q109" s="116"/>
      <c r="R109" s="116"/>
      <c r="S109" s="116"/>
      <c r="T109" s="135">
        <f t="shared" si="11"/>
        <v>0</v>
      </c>
    </row>
    <row r="110" spans="1:20" ht="9.75" customHeight="1" x14ac:dyDescent="0.2">
      <c r="A110" s="223"/>
      <c r="B110" s="263"/>
      <c r="C110" s="263"/>
      <c r="D110" s="263"/>
      <c r="E110" s="263"/>
      <c r="F110" s="263"/>
      <c r="G110" s="257" t="s">
        <v>253</v>
      </c>
      <c r="H110" s="257"/>
      <c r="I110" s="257"/>
      <c r="J110" s="257"/>
      <c r="K110" s="257"/>
      <c r="L110" s="257"/>
      <c r="M110" s="257"/>
      <c r="N110" s="257"/>
      <c r="O110" s="257"/>
      <c r="P110" s="16"/>
      <c r="Q110" s="116"/>
      <c r="R110" s="116"/>
      <c r="S110" s="116"/>
      <c r="T110" s="135">
        <f t="shared" si="11"/>
        <v>0</v>
      </c>
    </row>
    <row r="111" spans="1:20" ht="9.75" customHeight="1" x14ac:dyDescent="0.2">
      <c r="A111" s="223"/>
      <c r="B111" s="263"/>
      <c r="C111" s="263"/>
      <c r="D111" s="263"/>
      <c r="E111" s="263"/>
      <c r="F111" s="263"/>
      <c r="G111" s="257" t="s">
        <v>254</v>
      </c>
      <c r="H111" s="257"/>
      <c r="I111" s="257"/>
      <c r="J111" s="257"/>
      <c r="K111" s="257"/>
      <c r="L111" s="257"/>
      <c r="M111" s="257"/>
      <c r="N111" s="257"/>
      <c r="O111" s="257"/>
      <c r="P111" s="16"/>
      <c r="Q111" s="116"/>
      <c r="R111" s="116"/>
      <c r="S111" s="116"/>
      <c r="T111" s="135">
        <f t="shared" si="11"/>
        <v>0</v>
      </c>
    </row>
    <row r="112" spans="1:20" ht="9.75" customHeight="1" x14ac:dyDescent="0.2">
      <c r="A112" s="223"/>
      <c r="B112" s="263"/>
      <c r="C112" s="263"/>
      <c r="D112" s="263"/>
      <c r="E112" s="263"/>
      <c r="F112" s="263"/>
      <c r="G112" s="257" t="s">
        <v>255</v>
      </c>
      <c r="H112" s="257"/>
      <c r="I112" s="257"/>
      <c r="J112" s="257"/>
      <c r="K112" s="257"/>
      <c r="L112" s="257"/>
      <c r="M112" s="257"/>
      <c r="N112" s="257"/>
      <c r="O112" s="257"/>
      <c r="P112" s="16"/>
      <c r="Q112" s="116"/>
      <c r="R112" s="116"/>
      <c r="S112" s="116"/>
      <c r="T112" s="135">
        <f t="shared" si="11"/>
        <v>0</v>
      </c>
    </row>
    <row r="113" spans="1:20" ht="12" customHeight="1" x14ac:dyDescent="0.2">
      <c r="A113" s="19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23"/>
      <c r="M113" s="23"/>
      <c r="N113" s="23"/>
      <c r="O113" s="23"/>
      <c r="P113" s="16"/>
      <c r="Q113" s="116"/>
      <c r="R113" s="136"/>
      <c r="S113" s="136"/>
      <c r="T113" s="138">
        <f>T105+T106+T107+T108+T109+T110+T111+T112</f>
        <v>2</v>
      </c>
    </row>
    <row r="114" spans="1:20" ht="15" customHeight="1" x14ac:dyDescent="0.2">
      <c r="A114" s="223" t="s">
        <v>256</v>
      </c>
      <c r="B114" s="332" t="s">
        <v>257</v>
      </c>
      <c r="C114" s="332"/>
      <c r="D114" s="332"/>
      <c r="E114" s="332"/>
      <c r="F114" s="332"/>
      <c r="G114" s="238" t="s">
        <v>258</v>
      </c>
      <c r="H114" s="238"/>
      <c r="I114" s="238"/>
      <c r="J114" s="238"/>
      <c r="K114" s="238"/>
      <c r="L114" s="238"/>
      <c r="M114" s="238"/>
      <c r="N114" s="238"/>
      <c r="O114" s="238"/>
      <c r="P114" s="16">
        <v>90</v>
      </c>
      <c r="Q114" s="116"/>
      <c r="R114" s="116"/>
      <c r="S114" s="116"/>
      <c r="T114" s="135">
        <f>P114+Q114+R114+S114</f>
        <v>90</v>
      </c>
    </row>
    <row r="115" spans="1:20" ht="15" customHeight="1" x14ac:dyDescent="0.2">
      <c r="A115" s="244"/>
      <c r="B115" s="332"/>
      <c r="C115" s="332"/>
      <c r="D115" s="332"/>
      <c r="E115" s="332"/>
      <c r="F115" s="332"/>
      <c r="G115" s="238" t="s">
        <v>259</v>
      </c>
      <c r="H115" s="238"/>
      <c r="I115" s="238"/>
      <c r="J115" s="238"/>
      <c r="K115" s="238"/>
      <c r="L115" s="238"/>
      <c r="M115" s="238"/>
      <c r="N115" s="238"/>
      <c r="O115" s="238"/>
      <c r="P115" s="16"/>
      <c r="Q115" s="116"/>
      <c r="R115" s="116"/>
      <c r="S115" s="116"/>
      <c r="T115" s="139">
        <f>P115+Q115+R115+S116</f>
        <v>0</v>
      </c>
    </row>
    <row r="116" spans="1:20" ht="12" customHeight="1" x14ac:dyDescent="0.2">
      <c r="A116" s="87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109"/>
      <c r="M116" s="109"/>
      <c r="N116" s="109"/>
      <c r="O116" s="109"/>
      <c r="P116" s="110"/>
      <c r="Q116" s="140"/>
      <c r="R116" s="141"/>
      <c r="S116" s="142"/>
      <c r="T116" s="143">
        <f>T114+T115</f>
        <v>90</v>
      </c>
    </row>
    <row r="117" spans="1:20" ht="22.5" customHeight="1" x14ac:dyDescent="0.2">
      <c r="A117" s="258" t="s">
        <v>260</v>
      </c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60"/>
      <c r="T117" s="144">
        <f>T104+T113+T116</f>
        <v>94</v>
      </c>
    </row>
    <row r="118" spans="1:20" ht="15.75" customHeight="1" x14ac:dyDescent="0.2">
      <c r="A118" s="333" t="s">
        <v>261</v>
      </c>
      <c r="B118" s="261"/>
      <c r="C118" s="261"/>
      <c r="D118" s="261" t="s">
        <v>14</v>
      </c>
      <c r="E118" s="261"/>
      <c r="F118" s="261"/>
      <c r="G118" s="261"/>
      <c r="H118" s="261"/>
      <c r="I118" s="261"/>
      <c r="J118" s="261"/>
      <c r="K118" s="261"/>
      <c r="L118" s="261" t="s">
        <v>185</v>
      </c>
      <c r="M118" s="261"/>
      <c r="N118" s="226" t="s">
        <v>186</v>
      </c>
      <c r="O118" s="226"/>
      <c r="P118" s="240" t="s">
        <v>187</v>
      </c>
      <c r="Q118" s="240"/>
      <c r="R118" s="240" t="s">
        <v>188</v>
      </c>
      <c r="S118" s="240"/>
      <c r="T118" s="316" t="s">
        <v>165</v>
      </c>
    </row>
    <row r="119" spans="1:20" ht="18.75" customHeight="1" x14ac:dyDescent="0.2">
      <c r="A119" s="334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99" t="s">
        <v>216</v>
      </c>
      <c r="M119" s="99" t="s">
        <v>217</v>
      </c>
      <c r="N119" s="99" t="s">
        <v>216</v>
      </c>
      <c r="O119" s="99" t="s">
        <v>217</v>
      </c>
      <c r="P119" s="99" t="s">
        <v>216</v>
      </c>
      <c r="Q119" s="99" t="s">
        <v>217</v>
      </c>
      <c r="R119" s="99" t="s">
        <v>216</v>
      </c>
      <c r="S119" s="99" t="s">
        <v>217</v>
      </c>
      <c r="T119" s="315"/>
    </row>
    <row r="120" spans="1:20" ht="40.5" customHeight="1" x14ac:dyDescent="0.2">
      <c r="A120" s="19" t="s">
        <v>238</v>
      </c>
      <c r="B120" s="270" t="s">
        <v>262</v>
      </c>
      <c r="C120" s="271"/>
      <c r="D120" s="272" t="s">
        <v>263</v>
      </c>
      <c r="E120" s="262"/>
      <c r="F120" s="262"/>
      <c r="G120" s="262"/>
      <c r="H120" s="262"/>
      <c r="I120" s="262"/>
      <c r="J120" s="262"/>
      <c r="K120" s="262"/>
      <c r="L120" s="111">
        <v>5</v>
      </c>
      <c r="M120" s="111"/>
      <c r="N120" s="111"/>
      <c r="O120" s="111"/>
      <c r="P120" s="111"/>
      <c r="Q120" s="116"/>
      <c r="R120" s="116"/>
      <c r="S120" s="116"/>
      <c r="T120" s="135">
        <f>L120+M120+N120+O120+P120+Q120+R120+S120</f>
        <v>5</v>
      </c>
    </row>
    <row r="121" spans="1:20" ht="15.75" customHeight="1" x14ac:dyDescent="0.2">
      <c r="A121" s="273" t="s">
        <v>264</v>
      </c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89"/>
      <c r="T121" s="135">
        <f>L120+M120+N120+O120+P120+Q120+R120+S120</f>
        <v>5</v>
      </c>
    </row>
    <row r="122" spans="1:20" ht="17.25" customHeight="1" x14ac:dyDescent="0.2">
      <c r="A122" s="90" t="s">
        <v>265</v>
      </c>
      <c r="B122" s="91"/>
      <c r="C122" s="92"/>
      <c r="D122" s="93"/>
      <c r="E122" s="275" t="s">
        <v>184</v>
      </c>
      <c r="F122" s="276"/>
      <c r="G122" s="276"/>
      <c r="H122" s="276"/>
      <c r="I122" s="276"/>
      <c r="J122" s="276"/>
      <c r="K122" s="276"/>
      <c r="L122" s="276"/>
      <c r="M122" s="276"/>
      <c r="N122" s="276"/>
      <c r="O122" s="277"/>
      <c r="P122" s="49" t="s">
        <v>185</v>
      </c>
      <c r="Q122" s="49" t="s">
        <v>186</v>
      </c>
      <c r="R122" s="49" t="s">
        <v>187</v>
      </c>
      <c r="S122" s="49" t="s">
        <v>188</v>
      </c>
      <c r="T122" s="68" t="s">
        <v>165</v>
      </c>
    </row>
    <row r="123" spans="1:20" ht="12.75" customHeight="1" x14ac:dyDescent="0.2">
      <c r="A123" s="282" t="s">
        <v>71</v>
      </c>
      <c r="B123" s="329" t="s">
        <v>266</v>
      </c>
      <c r="C123" s="330"/>
      <c r="D123" s="330"/>
      <c r="E123" s="278" t="s">
        <v>219</v>
      </c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112"/>
      <c r="Q123" s="145"/>
      <c r="R123" s="145"/>
      <c r="S123" s="145"/>
      <c r="T123" s="146"/>
    </row>
    <row r="124" spans="1:20" ht="12.75" customHeight="1" x14ac:dyDescent="0.2">
      <c r="A124" s="223"/>
      <c r="B124" s="331"/>
      <c r="C124" s="331"/>
      <c r="D124" s="331"/>
      <c r="E124" s="209" t="s">
        <v>267</v>
      </c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98"/>
      <c r="Q124" s="51"/>
      <c r="R124" s="51"/>
      <c r="S124" s="51"/>
      <c r="T124" s="74"/>
    </row>
    <row r="125" spans="1:20" ht="12.75" customHeight="1" x14ac:dyDescent="0.2">
      <c r="A125" s="223"/>
      <c r="B125" s="331"/>
      <c r="C125" s="331"/>
      <c r="D125" s="331"/>
      <c r="E125" s="209" t="s">
        <v>268</v>
      </c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98"/>
      <c r="Q125" s="51"/>
      <c r="R125" s="51"/>
      <c r="S125" s="51"/>
      <c r="T125" s="74"/>
    </row>
    <row r="126" spans="1:20" ht="21" customHeight="1" x14ac:dyDescent="0.2">
      <c r="A126" s="223"/>
      <c r="B126" s="331"/>
      <c r="C126" s="331"/>
      <c r="D126" s="331"/>
      <c r="E126" s="209" t="s">
        <v>269</v>
      </c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98"/>
      <c r="Q126" s="51"/>
      <c r="R126" s="51"/>
      <c r="S126" s="51"/>
      <c r="T126" s="74"/>
    </row>
    <row r="127" spans="1:20" ht="17.25" customHeight="1" x14ac:dyDescent="0.2">
      <c r="A127" s="76"/>
      <c r="B127" s="94"/>
      <c r="C127" s="94"/>
      <c r="D127" s="94"/>
      <c r="E127" s="81"/>
      <c r="F127" s="81"/>
      <c r="G127" s="81"/>
      <c r="H127" s="81"/>
      <c r="I127" s="81"/>
      <c r="J127" s="81"/>
      <c r="K127" s="81"/>
      <c r="L127" s="113"/>
      <c r="M127" s="113"/>
      <c r="N127" s="113"/>
      <c r="O127" s="113"/>
      <c r="P127" s="97">
        <f>P123+P124+P125+P126</f>
        <v>0</v>
      </c>
      <c r="Q127" s="97">
        <f>Q123+Q124+Q125+Q126</f>
        <v>0</v>
      </c>
      <c r="R127" s="97">
        <f>R123+R124+R125+R126</f>
        <v>0</v>
      </c>
      <c r="S127" s="97">
        <f>S123+S124+S125+S126</f>
        <v>0</v>
      </c>
      <c r="T127" s="147">
        <f>P127+Q127+R127+S127</f>
        <v>0</v>
      </c>
    </row>
    <row r="128" spans="1:20" ht="27.75" customHeight="1" x14ac:dyDescent="0.2">
      <c r="A128" s="95"/>
      <c r="B128" s="279" t="s">
        <v>270</v>
      </c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1"/>
      <c r="Q128" s="281"/>
      <c r="R128" s="281"/>
      <c r="S128" s="148"/>
      <c r="T128" s="147">
        <f>P127:T127</f>
        <v>0</v>
      </c>
    </row>
    <row r="129" spans="1:20" ht="51.75" customHeight="1" x14ac:dyDescent="0.2">
      <c r="A129" s="283" t="s">
        <v>271</v>
      </c>
      <c r="B129" s="284"/>
      <c r="C129" s="284"/>
      <c r="D129" s="284"/>
      <c r="E129" s="264" t="s">
        <v>299</v>
      </c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151">
        <v>5</v>
      </c>
      <c r="Q129" s="151"/>
      <c r="R129" s="151"/>
      <c r="S129" s="151"/>
      <c r="T129" s="154">
        <f>P129+Q129+R129+S129</f>
        <v>5</v>
      </c>
    </row>
    <row r="130" spans="1:20" ht="22.5" customHeight="1" x14ac:dyDescent="0.2">
      <c r="A130" s="265" t="s">
        <v>273</v>
      </c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155">
        <f>T74+T98+T117+T121+T128</f>
        <v>118</v>
      </c>
    </row>
    <row r="131" spans="1:20" ht="23.25" customHeight="1" x14ac:dyDescent="0.2">
      <c r="A131" s="267" t="s">
        <v>274</v>
      </c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3"/>
      <c r="T131" s="156"/>
    </row>
    <row r="132" spans="1:20" ht="32.25" customHeight="1" x14ac:dyDescent="0.2">
      <c r="A132" s="327" t="s">
        <v>275</v>
      </c>
      <c r="B132" s="220"/>
      <c r="C132" s="220"/>
      <c r="D132" s="220" t="s">
        <v>184</v>
      </c>
      <c r="E132" s="220"/>
      <c r="F132" s="220"/>
      <c r="G132" s="220"/>
      <c r="H132" s="220"/>
      <c r="I132" s="220"/>
      <c r="J132" s="220"/>
      <c r="K132" s="220"/>
      <c r="L132" s="220" t="s">
        <v>185</v>
      </c>
      <c r="M132" s="220"/>
      <c r="N132" s="226" t="s">
        <v>186</v>
      </c>
      <c r="O132" s="226"/>
      <c r="P132" s="240" t="s">
        <v>187</v>
      </c>
      <c r="Q132" s="240"/>
      <c r="R132" s="240" t="s">
        <v>188</v>
      </c>
      <c r="S132" s="240"/>
      <c r="T132" s="316" t="s">
        <v>165</v>
      </c>
    </row>
    <row r="133" spans="1:20" ht="23.25" customHeight="1" x14ac:dyDescent="0.2">
      <c r="A133" s="328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152" t="s">
        <v>216</v>
      </c>
      <c r="M133" s="152" t="s">
        <v>217</v>
      </c>
      <c r="N133" s="152" t="s">
        <v>216</v>
      </c>
      <c r="O133" s="152" t="s">
        <v>217</v>
      </c>
      <c r="P133" s="152" t="s">
        <v>216</v>
      </c>
      <c r="Q133" s="152" t="s">
        <v>217</v>
      </c>
      <c r="R133" s="152" t="s">
        <v>216</v>
      </c>
      <c r="S133" s="152" t="s">
        <v>217</v>
      </c>
      <c r="T133" s="317"/>
    </row>
    <row r="134" spans="1:20" ht="18.75" customHeight="1" x14ac:dyDescent="0.2">
      <c r="A134" s="243" t="s">
        <v>276</v>
      </c>
      <c r="B134" s="324" t="s">
        <v>277</v>
      </c>
      <c r="C134" s="325"/>
      <c r="D134" s="269" t="s">
        <v>240</v>
      </c>
      <c r="E134" s="269"/>
      <c r="F134" s="269"/>
      <c r="G134" s="269"/>
      <c r="H134" s="269"/>
      <c r="I134" s="269"/>
      <c r="J134" s="269"/>
      <c r="K134" s="269"/>
      <c r="L134" s="102">
        <v>20</v>
      </c>
      <c r="M134" s="102"/>
      <c r="N134" s="102"/>
      <c r="O134" s="102"/>
      <c r="P134" s="102"/>
      <c r="Q134" s="126"/>
      <c r="R134" s="126"/>
      <c r="S134" s="126"/>
      <c r="T134" s="128">
        <f>L134+M134+N134+O134+P134+Q134+R134+S134</f>
        <v>20</v>
      </c>
    </row>
    <row r="135" spans="1:20" ht="18.75" customHeight="1" x14ac:dyDescent="0.2">
      <c r="A135" s="244"/>
      <c r="B135" s="326"/>
      <c r="C135" s="326"/>
      <c r="D135" s="286" t="s">
        <v>278</v>
      </c>
      <c r="E135" s="286"/>
      <c r="F135" s="286"/>
      <c r="G135" s="286"/>
      <c r="H135" s="286"/>
      <c r="I135" s="286"/>
      <c r="J135" s="286"/>
      <c r="K135" s="286"/>
      <c r="L135" s="104"/>
      <c r="M135" s="104"/>
      <c r="N135" s="96"/>
      <c r="O135" s="96"/>
      <c r="P135" s="96"/>
      <c r="Q135" s="118"/>
      <c r="R135" s="118"/>
      <c r="S135" s="118"/>
      <c r="T135" s="128">
        <f>L135+M135+N135+O135+P135+Q135+R135+S135</f>
        <v>0</v>
      </c>
    </row>
    <row r="136" spans="1:20" ht="4.5" customHeight="1" x14ac:dyDescent="0.2">
      <c r="A136" s="76"/>
      <c r="B136" s="94"/>
      <c r="C136" s="94"/>
      <c r="D136" s="81"/>
      <c r="E136" s="81"/>
      <c r="F136" s="81"/>
      <c r="G136" s="81"/>
      <c r="H136" s="81"/>
      <c r="I136" s="81"/>
      <c r="J136" s="81"/>
      <c r="K136" s="81"/>
      <c r="L136" s="153"/>
      <c r="M136" s="153"/>
      <c r="N136" s="97"/>
      <c r="O136" s="97"/>
      <c r="P136" s="97"/>
      <c r="Q136" s="120"/>
      <c r="R136" s="120"/>
      <c r="S136" s="120"/>
      <c r="T136" s="157">
        <f>T134+T135</f>
        <v>20</v>
      </c>
    </row>
    <row r="137" spans="1:20" ht="4.5" customHeight="1" x14ac:dyDescent="0.2">
      <c r="A137" s="87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110"/>
      <c r="M137" s="110"/>
      <c r="N137" s="110"/>
      <c r="O137" s="110"/>
      <c r="P137" s="110"/>
      <c r="Q137" s="140"/>
      <c r="R137" s="140"/>
      <c r="S137" s="140"/>
      <c r="T137" s="158" t="e">
        <f>#REF!+#REF!+#REF!</f>
        <v>#REF!</v>
      </c>
    </row>
    <row r="138" spans="1:20" ht="22.5" customHeight="1" x14ac:dyDescent="0.2">
      <c r="A138" s="258" t="s">
        <v>279</v>
      </c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87"/>
      <c r="T138" s="159">
        <f>T136</f>
        <v>20</v>
      </c>
    </row>
    <row r="139" spans="1:20" ht="20.25" customHeight="1" x14ac:dyDescent="0.2">
      <c r="A139" s="288" t="s">
        <v>280</v>
      </c>
      <c r="B139" s="289"/>
      <c r="C139" s="289"/>
      <c r="D139" s="289"/>
      <c r="E139" s="289"/>
      <c r="F139" s="289"/>
      <c r="G139" s="289" t="s">
        <v>184</v>
      </c>
      <c r="H139" s="289"/>
      <c r="I139" s="289"/>
      <c r="J139" s="289"/>
      <c r="K139" s="289"/>
      <c r="L139" s="289"/>
      <c r="M139" s="289"/>
      <c r="N139" s="289"/>
      <c r="O139" s="289"/>
      <c r="P139" s="50" t="s">
        <v>185</v>
      </c>
      <c r="Q139" s="50" t="s">
        <v>186</v>
      </c>
      <c r="R139" s="50" t="s">
        <v>187</v>
      </c>
      <c r="S139" s="50" t="s">
        <v>188</v>
      </c>
      <c r="T139" s="69" t="s">
        <v>165</v>
      </c>
    </row>
    <row r="140" spans="1:20" x14ac:dyDescent="0.2">
      <c r="A140" s="19" t="s">
        <v>276</v>
      </c>
      <c r="B140" s="290" t="s">
        <v>126</v>
      </c>
      <c r="C140" s="290"/>
      <c r="D140" s="290"/>
      <c r="E140" s="290"/>
      <c r="F140" s="290"/>
      <c r="G140" s="257" t="s">
        <v>281</v>
      </c>
      <c r="H140" s="257"/>
      <c r="I140" s="257"/>
      <c r="J140" s="257"/>
      <c r="K140" s="257"/>
      <c r="L140" s="257"/>
      <c r="M140" s="257"/>
      <c r="N140" s="257"/>
      <c r="O140" s="257"/>
      <c r="P140" s="16"/>
      <c r="Q140" s="116"/>
      <c r="R140" s="116"/>
      <c r="S140" s="116"/>
      <c r="T140" s="128">
        <f>P140+Q140+R140+S140</f>
        <v>0</v>
      </c>
    </row>
    <row r="141" spans="1:20" ht="25.5" customHeight="1" x14ac:dyDescent="0.2">
      <c r="A141" s="19" t="s">
        <v>282</v>
      </c>
      <c r="B141" s="291" t="s">
        <v>129</v>
      </c>
      <c r="C141" s="291"/>
      <c r="D141" s="291"/>
      <c r="E141" s="291"/>
      <c r="F141" s="291"/>
      <c r="G141" s="209" t="s">
        <v>281</v>
      </c>
      <c r="H141" s="209"/>
      <c r="I141" s="209"/>
      <c r="J141" s="209"/>
      <c r="K141" s="209"/>
      <c r="L141" s="209"/>
      <c r="M141" s="209"/>
      <c r="N141" s="209"/>
      <c r="O141" s="209"/>
      <c r="P141" s="16"/>
      <c r="Q141" s="116"/>
      <c r="R141" s="116"/>
      <c r="S141" s="116"/>
      <c r="T141" s="160">
        <f>P141+Q141+R141+S141</f>
        <v>0</v>
      </c>
    </row>
    <row r="142" spans="1:20" ht="25.5" customHeight="1" x14ac:dyDescent="0.2">
      <c r="A142" s="19" t="s">
        <v>283</v>
      </c>
      <c r="B142" s="224" t="s">
        <v>131</v>
      </c>
      <c r="C142" s="224"/>
      <c r="D142" s="224"/>
      <c r="E142" s="224"/>
      <c r="F142" s="224"/>
      <c r="G142" s="209" t="s">
        <v>281</v>
      </c>
      <c r="H142" s="209"/>
      <c r="I142" s="209"/>
      <c r="J142" s="209"/>
      <c r="K142" s="209"/>
      <c r="L142" s="209"/>
      <c r="M142" s="209"/>
      <c r="N142" s="209"/>
      <c r="O142" s="209"/>
      <c r="P142" s="16"/>
      <c r="Q142" s="116"/>
      <c r="R142" s="116"/>
      <c r="S142" s="116"/>
      <c r="T142" s="160">
        <f>P142+Q142+R142+S142</f>
        <v>0</v>
      </c>
    </row>
    <row r="143" spans="1:20" ht="25.5" customHeight="1" x14ac:dyDescent="0.2">
      <c r="A143" s="19" t="s">
        <v>284</v>
      </c>
      <c r="B143" s="224" t="s">
        <v>133</v>
      </c>
      <c r="C143" s="224"/>
      <c r="D143" s="224"/>
      <c r="E143" s="224"/>
      <c r="F143" s="224"/>
      <c r="G143" s="209" t="s">
        <v>281</v>
      </c>
      <c r="H143" s="209"/>
      <c r="I143" s="209"/>
      <c r="J143" s="209"/>
      <c r="K143" s="209"/>
      <c r="L143" s="209"/>
      <c r="M143" s="209"/>
      <c r="N143" s="209"/>
      <c r="O143" s="209"/>
      <c r="P143" s="16"/>
      <c r="Q143" s="116"/>
      <c r="R143" s="116"/>
      <c r="S143" s="116"/>
      <c r="T143" s="160">
        <f t="shared" ref="T143:T148" si="12">P143+Q143+R143+S143</f>
        <v>0</v>
      </c>
    </row>
    <row r="144" spans="1:20" ht="25.5" customHeight="1" x14ac:dyDescent="0.2">
      <c r="A144" s="19" t="s">
        <v>285</v>
      </c>
      <c r="B144" s="291" t="s">
        <v>135</v>
      </c>
      <c r="C144" s="291"/>
      <c r="D144" s="291"/>
      <c r="E144" s="291"/>
      <c r="F144" s="291"/>
      <c r="G144" s="209" t="s">
        <v>281</v>
      </c>
      <c r="H144" s="209"/>
      <c r="I144" s="209"/>
      <c r="J144" s="209"/>
      <c r="K144" s="209"/>
      <c r="L144" s="209"/>
      <c r="M144" s="209"/>
      <c r="N144" s="209"/>
      <c r="O144" s="209"/>
      <c r="P144" s="16"/>
      <c r="Q144" s="116"/>
      <c r="R144" s="116"/>
      <c r="S144" s="116"/>
      <c r="T144" s="160">
        <f t="shared" si="12"/>
        <v>0</v>
      </c>
    </row>
    <row r="145" spans="1:20" ht="15" customHeight="1" x14ac:dyDescent="0.2">
      <c r="A145" s="223" t="s">
        <v>286</v>
      </c>
      <c r="B145" s="224" t="s">
        <v>287</v>
      </c>
      <c r="C145" s="224"/>
      <c r="D145" s="224"/>
      <c r="E145" s="224"/>
      <c r="F145" s="224"/>
      <c r="G145" s="257" t="s">
        <v>288</v>
      </c>
      <c r="H145" s="257"/>
      <c r="I145" s="257"/>
      <c r="J145" s="257"/>
      <c r="K145" s="257"/>
      <c r="L145" s="257"/>
      <c r="M145" s="257"/>
      <c r="N145" s="257"/>
      <c r="O145" s="257"/>
      <c r="P145" s="16"/>
      <c r="Q145" s="116"/>
      <c r="R145" s="116"/>
      <c r="S145" s="116"/>
      <c r="T145" s="160">
        <f t="shared" si="12"/>
        <v>0</v>
      </c>
    </row>
    <row r="146" spans="1:20" ht="15" customHeight="1" x14ac:dyDescent="0.2">
      <c r="A146" s="223"/>
      <c r="B146" s="224"/>
      <c r="C146" s="224"/>
      <c r="D146" s="224"/>
      <c r="E146" s="224"/>
      <c r="F146" s="224"/>
      <c r="G146" s="257" t="s">
        <v>289</v>
      </c>
      <c r="H146" s="257"/>
      <c r="I146" s="257"/>
      <c r="J146" s="257"/>
      <c r="K146" s="257"/>
      <c r="L146" s="257"/>
      <c r="M146" s="257"/>
      <c r="N146" s="257"/>
      <c r="O146" s="257"/>
      <c r="P146" s="16"/>
      <c r="Q146" s="116"/>
      <c r="R146" s="116"/>
      <c r="S146" s="116"/>
      <c r="T146" s="160">
        <f t="shared" si="12"/>
        <v>0</v>
      </c>
    </row>
    <row r="147" spans="1:20" ht="15" customHeight="1" x14ac:dyDescent="0.2">
      <c r="A147" s="223"/>
      <c r="B147" s="224"/>
      <c r="C147" s="224"/>
      <c r="D147" s="224"/>
      <c r="E147" s="224"/>
      <c r="F147" s="224"/>
      <c r="G147" s="257" t="s">
        <v>290</v>
      </c>
      <c r="H147" s="257"/>
      <c r="I147" s="257"/>
      <c r="J147" s="257"/>
      <c r="K147" s="257"/>
      <c r="L147" s="257"/>
      <c r="M147" s="257"/>
      <c r="N147" s="257"/>
      <c r="O147" s="257"/>
      <c r="P147" s="16"/>
      <c r="Q147" s="116"/>
      <c r="R147" s="116"/>
      <c r="S147" s="116"/>
      <c r="T147" s="160">
        <f t="shared" si="12"/>
        <v>0</v>
      </c>
    </row>
    <row r="148" spans="1:20" ht="15" customHeight="1" x14ac:dyDescent="0.2">
      <c r="A148" s="223"/>
      <c r="B148" s="224"/>
      <c r="C148" s="224"/>
      <c r="D148" s="224"/>
      <c r="E148" s="224"/>
      <c r="F148" s="224"/>
      <c r="G148" s="257" t="s">
        <v>291</v>
      </c>
      <c r="H148" s="257"/>
      <c r="I148" s="257"/>
      <c r="J148" s="257"/>
      <c r="K148" s="257"/>
      <c r="L148" s="257"/>
      <c r="M148" s="257"/>
      <c r="N148" s="257"/>
      <c r="O148" s="257"/>
      <c r="P148" s="16"/>
      <c r="Q148" s="116"/>
      <c r="R148" s="116"/>
      <c r="S148" s="116"/>
      <c r="T148" s="160"/>
    </row>
    <row r="149" spans="1:20" ht="10.5" customHeight="1" x14ac:dyDescent="0.2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3"/>
      <c r="M149" s="23"/>
      <c r="N149" s="23"/>
      <c r="O149" s="23"/>
      <c r="P149" s="16"/>
      <c r="Q149" s="116"/>
      <c r="R149" s="116"/>
      <c r="S149" s="116"/>
      <c r="T149" s="160"/>
    </row>
    <row r="150" spans="1:20" ht="21.75" customHeight="1" x14ac:dyDescent="0.2">
      <c r="A150" s="149" t="s">
        <v>292</v>
      </c>
      <c r="B150" s="285" t="s">
        <v>143</v>
      </c>
      <c r="C150" s="285"/>
      <c r="D150" s="285"/>
      <c r="E150" s="285"/>
      <c r="F150" s="285"/>
      <c r="G150" s="286" t="s">
        <v>281</v>
      </c>
      <c r="H150" s="286"/>
      <c r="I150" s="286"/>
      <c r="J150" s="286"/>
      <c r="K150" s="286"/>
      <c r="L150" s="286"/>
      <c r="M150" s="286"/>
      <c r="N150" s="286"/>
      <c r="O150" s="286"/>
      <c r="P150" s="96"/>
      <c r="Q150" s="118"/>
      <c r="R150" s="118"/>
      <c r="S150" s="118"/>
      <c r="T150" s="161"/>
    </row>
    <row r="151" spans="1:20" ht="21" customHeight="1" x14ac:dyDescent="0.2">
      <c r="A151" s="335" t="s">
        <v>293</v>
      </c>
      <c r="B151" s="336"/>
      <c r="C151" s="336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150"/>
      <c r="T151" s="162">
        <f>T140+T141+T142+T143+T144+T145+T146+T147+T148+T150</f>
        <v>0</v>
      </c>
    </row>
    <row r="152" spans="1:20" x14ac:dyDescent="0.2">
      <c r="A152" s="337" t="s">
        <v>294</v>
      </c>
      <c r="B152" s="338"/>
      <c r="C152" s="338"/>
      <c r="D152" s="338"/>
      <c r="E152" s="338"/>
      <c r="F152" s="338"/>
      <c r="G152" s="339" t="s">
        <v>184</v>
      </c>
      <c r="H152" s="339"/>
      <c r="I152" s="339"/>
      <c r="J152" s="339"/>
      <c r="K152" s="339"/>
      <c r="L152" s="339"/>
      <c r="M152" s="339"/>
      <c r="N152" s="339"/>
      <c r="O152" s="339"/>
      <c r="P152" s="49" t="s">
        <v>185</v>
      </c>
      <c r="Q152" s="49" t="s">
        <v>186</v>
      </c>
      <c r="R152" s="49" t="s">
        <v>187</v>
      </c>
      <c r="S152" s="49" t="s">
        <v>188</v>
      </c>
      <c r="T152" s="163" t="s">
        <v>171</v>
      </c>
    </row>
    <row r="153" spans="1:20" ht="15.75" customHeight="1" x14ac:dyDescent="0.2">
      <c r="A153" s="25" t="s">
        <v>276</v>
      </c>
      <c r="B153" s="340" t="s">
        <v>145</v>
      </c>
      <c r="C153" s="341"/>
      <c r="D153" s="341"/>
      <c r="E153" s="341"/>
      <c r="F153" s="342"/>
      <c r="G153" s="269" t="s">
        <v>295</v>
      </c>
      <c r="H153" s="269"/>
      <c r="I153" s="269"/>
      <c r="J153" s="269"/>
      <c r="K153" s="269"/>
      <c r="L153" s="269"/>
      <c r="M153" s="269"/>
      <c r="N153" s="269"/>
      <c r="O153" s="269"/>
      <c r="P153" s="102"/>
      <c r="Q153" s="126"/>
      <c r="R153" s="126"/>
      <c r="S153" s="126"/>
      <c r="T153" s="128"/>
    </row>
    <row r="154" spans="1:20" ht="19.5" customHeight="1" x14ac:dyDescent="0.2">
      <c r="A154" s="28" t="s">
        <v>282</v>
      </c>
      <c r="B154" s="343" t="s">
        <v>148</v>
      </c>
      <c r="C154" s="343"/>
      <c r="D154" s="343"/>
      <c r="E154" s="343"/>
      <c r="F154" s="343"/>
      <c r="G154" s="344" t="s">
        <v>296</v>
      </c>
      <c r="H154" s="344"/>
      <c r="I154" s="344"/>
      <c r="J154" s="344"/>
      <c r="K154" s="344"/>
      <c r="L154" s="344"/>
      <c r="M154" s="344"/>
      <c r="N154" s="344"/>
      <c r="O154" s="344"/>
      <c r="P154" s="96"/>
      <c r="Q154" s="118"/>
      <c r="R154" s="118"/>
      <c r="S154" s="118"/>
      <c r="T154" s="130">
        <f t="shared" ref="T154" si="13">P154+Q154+R154+S154</f>
        <v>0</v>
      </c>
    </row>
    <row r="155" spans="1:20" ht="15.75" customHeight="1" x14ac:dyDescent="0.2">
      <c r="A155" s="345" t="s">
        <v>297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162"/>
    </row>
    <row r="156" spans="1:20" ht="15.75" customHeight="1" x14ac:dyDescent="0.2">
      <c r="A156" s="347" t="s">
        <v>298</v>
      </c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135"/>
    </row>
    <row r="157" spans="1:20" ht="15.75" customHeight="1" x14ac:dyDescent="0.2">
      <c r="A157" s="318" t="s">
        <v>152</v>
      </c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8">
        <f>T35+T130+T156</f>
        <v>240</v>
      </c>
      <c r="T157" s="322"/>
    </row>
    <row r="158" spans="1:20" ht="21.75" customHeight="1" x14ac:dyDescent="0.2">
      <c r="A158" s="320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0"/>
      <c r="T158" s="323"/>
    </row>
  </sheetData>
  <mergeCells count="263">
    <mergeCell ref="B94:C95"/>
    <mergeCell ref="D94:K95"/>
    <mergeCell ref="B89:C92"/>
    <mergeCell ref="B83:C87"/>
    <mergeCell ref="B77:C81"/>
    <mergeCell ref="A75:C76"/>
    <mergeCell ref="D75:K76"/>
    <mergeCell ref="B69:I72"/>
    <mergeCell ref="B25:B26"/>
    <mergeCell ref="B27:B28"/>
    <mergeCell ref="B29:B30"/>
    <mergeCell ref="B31:B33"/>
    <mergeCell ref="J51:O51"/>
    <mergeCell ref="J52:O52"/>
    <mergeCell ref="J53:O53"/>
    <mergeCell ref="J54:O54"/>
    <mergeCell ref="A83:A87"/>
    <mergeCell ref="A89:A92"/>
    <mergeCell ref="T132:T133"/>
    <mergeCell ref="A157:R158"/>
    <mergeCell ref="S157:T158"/>
    <mergeCell ref="B145:F148"/>
    <mergeCell ref="B134:C135"/>
    <mergeCell ref="A132:C133"/>
    <mergeCell ref="D132:K133"/>
    <mergeCell ref="B123:D126"/>
    <mergeCell ref="B114:F115"/>
    <mergeCell ref="A118:C119"/>
    <mergeCell ref="D118:K119"/>
    <mergeCell ref="A151:R151"/>
    <mergeCell ref="A152:F152"/>
    <mergeCell ref="G152:O152"/>
    <mergeCell ref="B153:F153"/>
    <mergeCell ref="G153:O153"/>
    <mergeCell ref="B154:F154"/>
    <mergeCell ref="G154:O154"/>
    <mergeCell ref="A155:S155"/>
    <mergeCell ref="A156:S156"/>
    <mergeCell ref="B143:F143"/>
    <mergeCell ref="G143:O143"/>
    <mergeCell ref="B144:F144"/>
    <mergeCell ref="G144:O144"/>
    <mergeCell ref="T17:T18"/>
    <mergeCell ref="T19:T21"/>
    <mergeCell ref="T23:T24"/>
    <mergeCell ref="T25:T26"/>
    <mergeCell ref="T27:T28"/>
    <mergeCell ref="T29:T30"/>
    <mergeCell ref="T31:T33"/>
    <mergeCell ref="T75:T76"/>
    <mergeCell ref="T118:T119"/>
    <mergeCell ref="A94:A95"/>
    <mergeCell ref="A101:A103"/>
    <mergeCell ref="G101:O101"/>
    <mergeCell ref="G102:O102"/>
    <mergeCell ref="G103:O103"/>
    <mergeCell ref="D80:K80"/>
    <mergeCell ref="D81:K81"/>
    <mergeCell ref="D83:K83"/>
    <mergeCell ref="D84:K84"/>
    <mergeCell ref="D85:K85"/>
    <mergeCell ref="D86:K86"/>
    <mergeCell ref="D87:K87"/>
    <mergeCell ref="D89:K89"/>
    <mergeCell ref="D90:K90"/>
    <mergeCell ref="D91:K91"/>
    <mergeCell ref="D92:K92"/>
    <mergeCell ref="B97:C97"/>
    <mergeCell ref="D97:K97"/>
    <mergeCell ref="A98:R98"/>
    <mergeCell ref="A99:F99"/>
    <mergeCell ref="G99:O99"/>
    <mergeCell ref="B100:F100"/>
    <mergeCell ref="G100:O100"/>
    <mergeCell ref="B101:F103"/>
    <mergeCell ref="A25:A26"/>
    <mergeCell ref="A27:A28"/>
    <mergeCell ref="A29:A30"/>
    <mergeCell ref="A31:A33"/>
    <mergeCell ref="A38:A43"/>
    <mergeCell ref="A45:A49"/>
    <mergeCell ref="A51:A55"/>
    <mergeCell ref="A57:A61"/>
    <mergeCell ref="A63:A67"/>
    <mergeCell ref="G145:O145"/>
    <mergeCell ref="G146:O146"/>
    <mergeCell ref="G147:O147"/>
    <mergeCell ref="G148:O148"/>
    <mergeCell ref="B150:F150"/>
    <mergeCell ref="G150:O150"/>
    <mergeCell ref="D135:K135"/>
    <mergeCell ref="A138:S138"/>
    <mergeCell ref="A139:F139"/>
    <mergeCell ref="G139:O139"/>
    <mergeCell ref="B140:F140"/>
    <mergeCell ref="G140:O140"/>
    <mergeCell ref="B141:F141"/>
    <mergeCell ref="G141:O141"/>
    <mergeCell ref="B142:F142"/>
    <mergeCell ref="G142:O142"/>
    <mergeCell ref="A134:A135"/>
    <mergeCell ref="A145:A148"/>
    <mergeCell ref="E129:O129"/>
    <mergeCell ref="A130:S130"/>
    <mergeCell ref="A131:R131"/>
    <mergeCell ref="L132:M132"/>
    <mergeCell ref="N132:O132"/>
    <mergeCell ref="P132:Q132"/>
    <mergeCell ref="R132:S132"/>
    <mergeCell ref="D134:K134"/>
    <mergeCell ref="B120:C120"/>
    <mergeCell ref="D120:K120"/>
    <mergeCell ref="A121:R121"/>
    <mergeCell ref="E122:O122"/>
    <mergeCell ref="E123:O123"/>
    <mergeCell ref="E124:O124"/>
    <mergeCell ref="E125:O125"/>
    <mergeCell ref="E126:O126"/>
    <mergeCell ref="B128:R128"/>
    <mergeCell ref="A123:A126"/>
    <mergeCell ref="A129:D129"/>
    <mergeCell ref="G111:O111"/>
    <mergeCell ref="G112:O112"/>
    <mergeCell ref="G114:O114"/>
    <mergeCell ref="G115:O115"/>
    <mergeCell ref="A117:S117"/>
    <mergeCell ref="L118:M118"/>
    <mergeCell ref="N118:O118"/>
    <mergeCell ref="P118:Q118"/>
    <mergeCell ref="R118:S118"/>
    <mergeCell ref="B105:F112"/>
    <mergeCell ref="G105:O105"/>
    <mergeCell ref="G106:O106"/>
    <mergeCell ref="G107:O107"/>
    <mergeCell ref="G108:O108"/>
    <mergeCell ref="G109:O109"/>
    <mergeCell ref="G110:O110"/>
    <mergeCell ref="A105:A112"/>
    <mergeCell ref="A114:A115"/>
    <mergeCell ref="N75:O75"/>
    <mergeCell ref="P75:Q75"/>
    <mergeCell ref="R75:S75"/>
    <mergeCell ref="D77:K77"/>
    <mergeCell ref="D78:K78"/>
    <mergeCell ref="D79:K79"/>
    <mergeCell ref="A69:A72"/>
    <mergeCell ref="A77:A81"/>
    <mergeCell ref="J61:O61"/>
    <mergeCell ref="J63:O63"/>
    <mergeCell ref="J64:O64"/>
    <mergeCell ref="J65:O65"/>
    <mergeCell ref="J66:O66"/>
    <mergeCell ref="J67:O67"/>
    <mergeCell ref="J69:O69"/>
    <mergeCell ref="J70:O70"/>
    <mergeCell ref="J71:O71"/>
    <mergeCell ref="J72:O72"/>
    <mergeCell ref="A74:S74"/>
    <mergeCell ref="L75:M75"/>
    <mergeCell ref="B63:I67"/>
    <mergeCell ref="B57:I61"/>
    <mergeCell ref="J60:O60"/>
    <mergeCell ref="J40:O40"/>
    <mergeCell ref="J41:O41"/>
    <mergeCell ref="J42:O42"/>
    <mergeCell ref="J43:O43"/>
    <mergeCell ref="J45:O45"/>
    <mergeCell ref="J46:O46"/>
    <mergeCell ref="J47:O47"/>
    <mergeCell ref="J48:O48"/>
    <mergeCell ref="J49:O49"/>
    <mergeCell ref="A34:S34"/>
    <mergeCell ref="A35:S35"/>
    <mergeCell ref="J37:O37"/>
    <mergeCell ref="J38:O38"/>
    <mergeCell ref="J39:O39"/>
    <mergeCell ref="J55:O55"/>
    <mergeCell ref="J57:O57"/>
    <mergeCell ref="J58:O58"/>
    <mergeCell ref="J59:O59"/>
    <mergeCell ref="B51:I55"/>
    <mergeCell ref="B45:I49"/>
    <mergeCell ref="B38:I43"/>
    <mergeCell ref="D31:G31"/>
    <mergeCell ref="H31:K31"/>
    <mergeCell ref="L31:O31"/>
    <mergeCell ref="P31:S31"/>
    <mergeCell ref="D32:G32"/>
    <mergeCell ref="H32:K32"/>
    <mergeCell ref="L32:O32"/>
    <mergeCell ref="P32:S32"/>
    <mergeCell ref="D33:G33"/>
    <mergeCell ref="H33:K33"/>
    <mergeCell ref="L33:O33"/>
    <mergeCell ref="P33:S33"/>
    <mergeCell ref="D28:G28"/>
    <mergeCell ref="H28:K28"/>
    <mergeCell ref="L28:O28"/>
    <mergeCell ref="P28:S28"/>
    <mergeCell ref="D29:G29"/>
    <mergeCell ref="H29:K29"/>
    <mergeCell ref="L29:O29"/>
    <mergeCell ref="P29:S29"/>
    <mergeCell ref="D30:G30"/>
    <mergeCell ref="H30:K30"/>
    <mergeCell ref="L30:O30"/>
    <mergeCell ref="P30:S30"/>
    <mergeCell ref="D25:G25"/>
    <mergeCell ref="H25:K25"/>
    <mergeCell ref="L25:O25"/>
    <mergeCell ref="P25:S25"/>
    <mergeCell ref="D26:G26"/>
    <mergeCell ref="H26:K26"/>
    <mergeCell ref="L26:O26"/>
    <mergeCell ref="P26:S26"/>
    <mergeCell ref="D27:G27"/>
    <mergeCell ref="H27:K27"/>
    <mergeCell ref="L27:O27"/>
    <mergeCell ref="P27:S27"/>
    <mergeCell ref="D17:G17"/>
    <mergeCell ref="H17:K17"/>
    <mergeCell ref="L17:O17"/>
    <mergeCell ref="P17:S17"/>
    <mergeCell ref="A22:R22"/>
    <mergeCell ref="D23:G23"/>
    <mergeCell ref="H23:K23"/>
    <mergeCell ref="L23:O23"/>
    <mergeCell ref="P23:S23"/>
    <mergeCell ref="A19:A21"/>
    <mergeCell ref="B19:B21"/>
    <mergeCell ref="K19:K21"/>
    <mergeCell ref="O19:O21"/>
    <mergeCell ref="S19:S21"/>
    <mergeCell ref="C17:C18"/>
    <mergeCell ref="C23:C24"/>
    <mergeCell ref="G19:G21"/>
    <mergeCell ref="D24:G24"/>
    <mergeCell ref="H24:K24"/>
    <mergeCell ref="L24:O24"/>
    <mergeCell ref="P24:S24"/>
    <mergeCell ref="A23:B24"/>
    <mergeCell ref="A17:B18"/>
    <mergeCell ref="B1:T1"/>
    <mergeCell ref="A3:T3"/>
    <mergeCell ref="A4:T4"/>
    <mergeCell ref="B5:T5"/>
    <mergeCell ref="A9:T9"/>
    <mergeCell ref="D10:H10"/>
    <mergeCell ref="I10:M10"/>
    <mergeCell ref="O10:S10"/>
    <mergeCell ref="A16:R16"/>
    <mergeCell ref="A10:A11"/>
    <mergeCell ref="A12:A13"/>
    <mergeCell ref="A14:A15"/>
    <mergeCell ref="B10:B11"/>
    <mergeCell ref="B12:B13"/>
    <mergeCell ref="B14:B15"/>
    <mergeCell ref="N10:N11"/>
    <mergeCell ref="T10:T11"/>
    <mergeCell ref="T12:T13"/>
    <mergeCell ref="T14:T15"/>
    <mergeCell ref="C10:C11"/>
    <mergeCell ref="C12:C15"/>
  </mergeCells>
  <pageMargins left="0.7" right="0.7" top="0.75" bottom="0.75" header="0.3" footer="0.3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58"/>
  <sheetViews>
    <sheetView topLeftCell="A148" workbookViewId="0">
      <selection activeCell="V188" sqref="V188"/>
    </sheetView>
  </sheetViews>
  <sheetFormatPr defaultColWidth="9.140625" defaultRowHeight="11.25" x14ac:dyDescent="0.2"/>
  <cols>
    <col min="1" max="1" width="5" style="1" customWidth="1"/>
    <col min="2" max="2" width="25.7109375" style="2" customWidth="1"/>
    <col min="3" max="3" width="11.140625" style="2" customWidth="1"/>
    <col min="4" max="11" width="3.42578125" style="2" customWidth="1"/>
    <col min="12" max="19" width="4.42578125" style="2" customWidth="1"/>
    <col min="20" max="20" width="26.140625" style="2" customWidth="1"/>
    <col min="21" max="21" width="9.140625" style="2"/>
    <col min="22" max="22" width="32.28515625" style="2" customWidth="1"/>
    <col min="23" max="16384" width="9.140625" style="2"/>
  </cols>
  <sheetData>
    <row r="1" spans="1:20" ht="18" customHeight="1" x14ac:dyDescent="0.2">
      <c r="B1" s="192" t="s">
        <v>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20" ht="9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O2" s="3"/>
      <c r="P2" s="42" t="s">
        <v>153</v>
      </c>
      <c r="Q2" s="42"/>
      <c r="R2" s="42"/>
      <c r="S2" s="42"/>
      <c r="T2" s="42"/>
    </row>
    <row r="3" spans="1:20" ht="15" customHeight="1" x14ac:dyDescent="0.2">
      <c r="A3" s="193" t="s">
        <v>154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20" ht="50.25" customHeight="1" x14ac:dyDescent="0.2">
      <c r="A4" s="194" t="s">
        <v>155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</row>
    <row r="5" spans="1:20" ht="16.5" customHeight="1" x14ac:dyDescent="0.2">
      <c r="A5" s="4" t="s">
        <v>3</v>
      </c>
      <c r="B5" s="197" t="s">
        <v>156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9"/>
    </row>
    <row r="6" spans="1:20" ht="17.25" customHeight="1" x14ac:dyDescent="0.2">
      <c r="A6" s="5" t="s">
        <v>157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8"/>
    </row>
    <row r="7" spans="1:20" ht="33" customHeight="1" x14ac:dyDescent="0.2">
      <c r="A7" s="7" t="s">
        <v>158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59"/>
    </row>
    <row r="8" spans="1:20" ht="14.25" customHeight="1" x14ac:dyDescent="0.2">
      <c r="A8" s="9" t="s">
        <v>159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60">
        <v>0.2</v>
      </c>
    </row>
    <row r="9" spans="1:20" ht="25.5" customHeight="1" x14ac:dyDescent="0.2">
      <c r="A9" s="200" t="s">
        <v>160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2"/>
    </row>
    <row r="10" spans="1:20" ht="19.5" customHeight="1" x14ac:dyDescent="0.2">
      <c r="A10" s="207"/>
      <c r="B10" s="210"/>
      <c r="C10" s="217" t="s">
        <v>14</v>
      </c>
      <c r="D10" s="203" t="s">
        <v>161</v>
      </c>
      <c r="E10" s="203"/>
      <c r="F10" s="203"/>
      <c r="G10" s="203"/>
      <c r="H10" s="203"/>
      <c r="I10" s="203" t="s">
        <v>162</v>
      </c>
      <c r="J10" s="203"/>
      <c r="K10" s="203"/>
      <c r="L10" s="203"/>
      <c r="M10" s="203"/>
      <c r="N10" s="204" t="s">
        <v>163</v>
      </c>
      <c r="O10" s="204" t="s">
        <v>164</v>
      </c>
      <c r="P10" s="204"/>
      <c r="Q10" s="204"/>
      <c r="R10" s="204"/>
      <c r="S10" s="204"/>
      <c r="T10" s="213" t="s">
        <v>165</v>
      </c>
    </row>
    <row r="11" spans="1:20" ht="22.5" customHeight="1" x14ac:dyDescent="0.2">
      <c r="A11" s="208"/>
      <c r="B11" s="211"/>
      <c r="C11" s="218"/>
      <c r="D11" s="12" t="s">
        <v>8</v>
      </c>
      <c r="E11" s="12" t="s">
        <v>9</v>
      </c>
      <c r="F11" s="12" t="s">
        <v>10</v>
      </c>
      <c r="G11" s="12" t="s">
        <v>11</v>
      </c>
      <c r="H11" s="12" t="s">
        <v>166</v>
      </c>
      <c r="I11" s="12" t="s">
        <v>8</v>
      </c>
      <c r="J11" s="12" t="s">
        <v>9</v>
      </c>
      <c r="K11" s="12" t="s">
        <v>10</v>
      </c>
      <c r="L11" s="12" t="s">
        <v>11</v>
      </c>
      <c r="M11" s="12" t="s">
        <v>166</v>
      </c>
      <c r="N11" s="212"/>
      <c r="O11" s="12" t="s">
        <v>8</v>
      </c>
      <c r="P11" s="12" t="s">
        <v>9</v>
      </c>
      <c r="Q11" s="12" t="s">
        <v>10</v>
      </c>
      <c r="R11" s="12" t="s">
        <v>11</v>
      </c>
      <c r="S11" s="12" t="s">
        <v>166</v>
      </c>
      <c r="T11" s="214"/>
    </row>
    <row r="12" spans="1:20" ht="12.75" customHeight="1" x14ac:dyDescent="0.2">
      <c r="A12" s="209" t="s">
        <v>50</v>
      </c>
      <c r="B12" s="209" t="s">
        <v>167</v>
      </c>
      <c r="C12" s="219" t="s">
        <v>168</v>
      </c>
      <c r="D12" s="14">
        <v>80</v>
      </c>
      <c r="E12" s="15"/>
      <c r="F12" s="15"/>
      <c r="G12" s="15"/>
      <c r="H12" s="15">
        <f>(D12+E12+F12+G12)/4</f>
        <v>20</v>
      </c>
      <c r="I12" s="17"/>
      <c r="J12" s="17"/>
      <c r="K12" s="17"/>
      <c r="L12" s="17"/>
      <c r="M12" s="15">
        <f>(I12+J12+K12+L12)/4</f>
        <v>0</v>
      </c>
      <c r="N12" s="43">
        <v>1</v>
      </c>
      <c r="O12" s="43"/>
      <c r="P12" s="43"/>
      <c r="Q12" s="43"/>
      <c r="R12" s="43"/>
      <c r="S12" s="43">
        <f>SUM(O12:R12)/4</f>
        <v>0</v>
      </c>
      <c r="T12" s="215">
        <f>(H12+N12-0.2*S12)+(M12-0.2*S12)</f>
        <v>21</v>
      </c>
    </row>
    <row r="13" spans="1:20" ht="21.75" customHeight="1" x14ac:dyDescent="0.2">
      <c r="A13" s="209"/>
      <c r="B13" s="209"/>
      <c r="C13" s="219"/>
      <c r="D13" s="16"/>
      <c r="E13" s="15"/>
      <c r="F13" s="15"/>
      <c r="G13" s="15"/>
      <c r="H13" s="15"/>
      <c r="I13" s="16"/>
      <c r="J13" s="16"/>
      <c r="K13" s="16"/>
      <c r="L13" s="16"/>
      <c r="M13" s="16"/>
      <c r="N13" s="44"/>
      <c r="O13" s="45"/>
      <c r="P13" s="46"/>
      <c r="Q13" s="46"/>
      <c r="R13" s="46"/>
      <c r="S13" s="46"/>
      <c r="T13" s="216"/>
    </row>
    <row r="14" spans="1:20" ht="13.5" customHeight="1" x14ac:dyDescent="0.2">
      <c r="A14" s="209" t="s">
        <v>54</v>
      </c>
      <c r="B14" s="209" t="s">
        <v>169</v>
      </c>
      <c r="C14" s="219"/>
      <c r="D14" s="16">
        <v>80</v>
      </c>
      <c r="E14" s="16"/>
      <c r="F14" s="16"/>
      <c r="G14" s="16"/>
      <c r="H14" s="15">
        <f>(D14+E14+F14+G14)/4</f>
        <v>20</v>
      </c>
      <c r="I14" s="16"/>
      <c r="J14" s="16"/>
      <c r="K14" s="16"/>
      <c r="L14" s="16"/>
      <c r="M14" s="15">
        <f>(I14+J14+K14+L14)/4</f>
        <v>0</v>
      </c>
      <c r="N14" s="43">
        <v>1</v>
      </c>
      <c r="O14" s="43"/>
      <c r="P14" s="43"/>
      <c r="Q14" s="43"/>
      <c r="R14" s="43"/>
      <c r="S14" s="43">
        <f>SUM(O14:R14)/4</f>
        <v>0</v>
      </c>
      <c r="T14" s="215">
        <f>(H14+N14-0.2*S14)+(M14-0.2*S14)</f>
        <v>21</v>
      </c>
    </row>
    <row r="15" spans="1:20" ht="33" customHeight="1" x14ac:dyDescent="0.2">
      <c r="A15" s="209"/>
      <c r="B15" s="209"/>
      <c r="C15" s="21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47"/>
      <c r="O15" s="48"/>
      <c r="P15" s="46"/>
      <c r="Q15" s="46"/>
      <c r="R15" s="46"/>
      <c r="S15" s="46"/>
      <c r="T15" s="216"/>
    </row>
    <row r="16" spans="1:20" ht="21" customHeight="1" x14ac:dyDescent="0.2">
      <c r="A16" s="205" t="s">
        <v>29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61"/>
      <c r="T16" s="62">
        <f>T12+T14</f>
        <v>42</v>
      </c>
    </row>
    <row r="17" spans="1:20" ht="32.25" customHeight="1" x14ac:dyDescent="0.2">
      <c r="A17" s="356" t="s">
        <v>170</v>
      </c>
      <c r="B17" s="226"/>
      <c r="C17" s="226" t="s">
        <v>14</v>
      </c>
      <c r="D17" s="220" t="s">
        <v>31</v>
      </c>
      <c r="E17" s="220"/>
      <c r="F17" s="220"/>
      <c r="G17" s="220"/>
      <c r="H17" s="220" t="s">
        <v>32</v>
      </c>
      <c r="I17" s="220"/>
      <c r="J17" s="220"/>
      <c r="K17" s="220"/>
      <c r="L17" s="220" t="s">
        <v>33</v>
      </c>
      <c r="M17" s="220"/>
      <c r="N17" s="220"/>
      <c r="O17" s="220"/>
      <c r="P17" s="220" t="s">
        <v>34</v>
      </c>
      <c r="Q17" s="220"/>
      <c r="R17" s="220"/>
      <c r="S17" s="220"/>
      <c r="T17" s="309" t="s">
        <v>171</v>
      </c>
    </row>
    <row r="18" spans="1:20" ht="30" customHeight="1" x14ac:dyDescent="0.2">
      <c r="A18" s="357"/>
      <c r="B18" s="225"/>
      <c r="C18" s="225"/>
      <c r="D18" s="18" t="s">
        <v>35</v>
      </c>
      <c r="E18" s="18" t="s">
        <v>172</v>
      </c>
      <c r="F18" s="18" t="s">
        <v>37</v>
      </c>
      <c r="G18" s="18" t="s">
        <v>39</v>
      </c>
      <c r="H18" s="18" t="s">
        <v>172</v>
      </c>
      <c r="I18" s="18" t="s">
        <v>37</v>
      </c>
      <c r="J18" s="18" t="s">
        <v>35</v>
      </c>
      <c r="K18" s="18" t="s">
        <v>39</v>
      </c>
      <c r="L18" s="18" t="s">
        <v>172</v>
      </c>
      <c r="M18" s="18" t="s">
        <v>37</v>
      </c>
      <c r="N18" s="18" t="s">
        <v>35</v>
      </c>
      <c r="O18" s="18" t="s">
        <v>39</v>
      </c>
      <c r="P18" s="18" t="s">
        <v>172</v>
      </c>
      <c r="Q18" s="18" t="s">
        <v>37</v>
      </c>
      <c r="R18" s="18" t="s">
        <v>35</v>
      </c>
      <c r="S18" s="18" t="s">
        <v>39</v>
      </c>
      <c r="T18" s="310"/>
    </row>
    <row r="19" spans="1:20" ht="11.25" customHeight="1" x14ac:dyDescent="0.2">
      <c r="A19" s="223" t="s">
        <v>50</v>
      </c>
      <c r="B19" s="224" t="s">
        <v>173</v>
      </c>
      <c r="C19" s="13" t="s">
        <v>174</v>
      </c>
      <c r="D19" s="15">
        <v>160</v>
      </c>
      <c r="E19" s="15"/>
      <c r="F19" s="15"/>
      <c r="G19" s="225">
        <f>D19+E19+F19+D20+E20+F20+D21+E21+F21</f>
        <v>160</v>
      </c>
      <c r="H19" s="15"/>
      <c r="I19" s="15"/>
      <c r="J19" s="15"/>
      <c r="K19" s="225">
        <f>H19+I19+J19+H20+I20+J20+H21+I21+J21</f>
        <v>0</v>
      </c>
      <c r="L19" s="15"/>
      <c r="M19" s="15"/>
      <c r="N19" s="15"/>
      <c r="O19" s="225">
        <f>L19+M19+N19+L20+M20+N20+L21+M21+N21</f>
        <v>0</v>
      </c>
      <c r="P19" s="15"/>
      <c r="Q19" s="15"/>
      <c r="R19" s="15"/>
      <c r="S19" s="225">
        <f t="shared" ref="S19" si="0">P19+Q19+R19+P20++Q20+R20+P21+Q21+R21</f>
        <v>0</v>
      </c>
      <c r="T19" s="310">
        <f>(G19+K19+O19+S19)/4</f>
        <v>40</v>
      </c>
    </row>
    <row r="20" spans="1:20" ht="11.25" customHeight="1" x14ac:dyDescent="0.2">
      <c r="A20" s="223"/>
      <c r="B20" s="224"/>
      <c r="C20" s="13" t="s">
        <v>175</v>
      </c>
      <c r="D20" s="15"/>
      <c r="E20" s="15"/>
      <c r="F20" s="15"/>
      <c r="G20" s="225"/>
      <c r="H20" s="15"/>
      <c r="I20" s="15"/>
      <c r="J20" s="15"/>
      <c r="K20" s="225"/>
      <c r="L20" s="15"/>
      <c r="M20" s="15"/>
      <c r="N20" s="15"/>
      <c r="O20" s="225"/>
      <c r="P20" s="15"/>
      <c r="Q20" s="15"/>
      <c r="R20" s="15"/>
      <c r="S20" s="225"/>
      <c r="T20" s="310"/>
    </row>
    <row r="21" spans="1:20" ht="28.5" customHeight="1" x14ac:dyDescent="0.2">
      <c r="A21" s="223"/>
      <c r="B21" s="224"/>
      <c r="C21" s="13" t="s">
        <v>176</v>
      </c>
      <c r="D21" s="15"/>
      <c r="E21" s="15"/>
      <c r="F21" s="15"/>
      <c r="G21" s="225"/>
      <c r="H21" s="15"/>
      <c r="I21" s="15"/>
      <c r="J21" s="15"/>
      <c r="K21" s="225"/>
      <c r="L21" s="15"/>
      <c r="M21" s="15"/>
      <c r="N21" s="15"/>
      <c r="O21" s="225"/>
      <c r="P21" s="15"/>
      <c r="Q21" s="15"/>
      <c r="R21" s="15"/>
      <c r="S21" s="225"/>
      <c r="T21" s="310"/>
    </row>
    <row r="22" spans="1:20" ht="20.25" customHeight="1" x14ac:dyDescent="0.2">
      <c r="A22" s="221" t="s">
        <v>48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1"/>
      <c r="T22" s="63">
        <f>T19</f>
        <v>40</v>
      </c>
    </row>
    <row r="23" spans="1:20" ht="21.75" customHeight="1" x14ac:dyDescent="0.2">
      <c r="A23" s="352" t="s">
        <v>177</v>
      </c>
      <c r="B23" s="353"/>
      <c r="C23" s="226" t="s">
        <v>14</v>
      </c>
      <c r="D23" s="220" t="s">
        <v>31</v>
      </c>
      <c r="E23" s="220"/>
      <c r="F23" s="220"/>
      <c r="G23" s="220"/>
      <c r="H23" s="220" t="s">
        <v>32</v>
      </c>
      <c r="I23" s="220"/>
      <c r="J23" s="220"/>
      <c r="K23" s="220"/>
      <c r="L23" s="220" t="s">
        <v>33</v>
      </c>
      <c r="M23" s="220"/>
      <c r="N23" s="220"/>
      <c r="O23" s="220"/>
      <c r="P23" s="220" t="s">
        <v>34</v>
      </c>
      <c r="Q23" s="220"/>
      <c r="R23" s="220"/>
      <c r="S23" s="220"/>
      <c r="T23" s="311" t="s">
        <v>171</v>
      </c>
    </row>
    <row r="24" spans="1:20" ht="21.75" customHeight="1" x14ac:dyDescent="0.2">
      <c r="A24" s="354"/>
      <c r="B24" s="355"/>
      <c r="C24" s="225"/>
      <c r="D24" s="227" t="s">
        <v>37</v>
      </c>
      <c r="E24" s="228"/>
      <c r="F24" s="228"/>
      <c r="G24" s="229"/>
      <c r="H24" s="227" t="s">
        <v>37</v>
      </c>
      <c r="I24" s="228"/>
      <c r="J24" s="228"/>
      <c r="K24" s="229"/>
      <c r="L24" s="227" t="s">
        <v>37</v>
      </c>
      <c r="M24" s="228"/>
      <c r="N24" s="228"/>
      <c r="O24" s="229"/>
      <c r="P24" s="227" t="s">
        <v>37</v>
      </c>
      <c r="Q24" s="228"/>
      <c r="R24" s="228"/>
      <c r="S24" s="229"/>
      <c r="T24" s="312"/>
    </row>
    <row r="25" spans="1:20" ht="10.5" customHeight="1" x14ac:dyDescent="0.2">
      <c r="A25" s="223" t="s">
        <v>50</v>
      </c>
      <c r="B25" s="373" t="s">
        <v>51</v>
      </c>
      <c r="C25" s="22" t="s">
        <v>52</v>
      </c>
      <c r="D25" s="225">
        <v>40</v>
      </c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310">
        <f>(D25+H25+L25+P25+D26+H26+L26+P26)/4</f>
        <v>10</v>
      </c>
    </row>
    <row r="26" spans="1:20" ht="10.5" customHeight="1" x14ac:dyDescent="0.2">
      <c r="A26" s="223"/>
      <c r="B26" s="374"/>
      <c r="C26" s="23" t="s">
        <v>178</v>
      </c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310"/>
    </row>
    <row r="27" spans="1:20" ht="10.5" customHeight="1" x14ac:dyDescent="0.2">
      <c r="A27" s="223" t="s">
        <v>54</v>
      </c>
      <c r="B27" s="331" t="s">
        <v>55</v>
      </c>
      <c r="C27" s="23" t="s">
        <v>56</v>
      </c>
      <c r="D27" s="225">
        <v>40</v>
      </c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310">
        <f>(D27+H27+L27+P27+D28+H28+L28+P28)/4</f>
        <v>10</v>
      </c>
    </row>
    <row r="28" spans="1:20" ht="10.5" customHeight="1" x14ac:dyDescent="0.2">
      <c r="A28" s="223"/>
      <c r="B28" s="331"/>
      <c r="C28" s="23" t="s">
        <v>178</v>
      </c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310"/>
    </row>
    <row r="29" spans="1:20" ht="10.5" customHeight="1" x14ac:dyDescent="0.2">
      <c r="A29" s="223" t="s">
        <v>57</v>
      </c>
      <c r="B29" s="331" t="s">
        <v>58</v>
      </c>
      <c r="C29" s="13" t="s">
        <v>59</v>
      </c>
      <c r="D29" s="225">
        <v>40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310">
        <f>(D29+H29+L29+P29+D30+H30+L30+P30)/4</f>
        <v>10</v>
      </c>
    </row>
    <row r="30" spans="1:20" ht="10.5" customHeight="1" x14ac:dyDescent="0.2">
      <c r="A30" s="292"/>
      <c r="B30" s="375"/>
      <c r="C30" s="24" t="s">
        <v>179</v>
      </c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310"/>
    </row>
    <row r="31" spans="1:20" ht="10.5" customHeight="1" x14ac:dyDescent="0.2">
      <c r="A31" s="243" t="s">
        <v>61</v>
      </c>
      <c r="B31" s="325" t="s">
        <v>62</v>
      </c>
      <c r="C31" s="26" t="s">
        <v>63</v>
      </c>
      <c r="D31" s="225">
        <v>40</v>
      </c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313">
        <f>(D31+H31+L31+P31+D32+H32+L32+P32+D33+H33+L33+P33)/4</f>
        <v>10</v>
      </c>
    </row>
    <row r="32" spans="1:20" ht="10.5" customHeight="1" x14ac:dyDescent="0.2">
      <c r="A32" s="223"/>
      <c r="B32" s="331"/>
      <c r="C32" s="27" t="s">
        <v>180</v>
      </c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313"/>
    </row>
    <row r="33" spans="1:20" ht="10.5" customHeight="1" x14ac:dyDescent="0.2">
      <c r="A33" s="244"/>
      <c r="B33" s="326"/>
      <c r="C33" s="29" t="s">
        <v>181</v>
      </c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313"/>
    </row>
    <row r="34" spans="1:20" ht="18.75" customHeight="1" x14ac:dyDescent="0.2">
      <c r="A34" s="230" t="s">
        <v>66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2"/>
      <c r="T34" s="64">
        <f>T25+T27+T29+T31</f>
        <v>40</v>
      </c>
    </row>
    <row r="35" spans="1:20" ht="25.5" customHeight="1" x14ac:dyDescent="0.2">
      <c r="A35" s="233" t="s">
        <v>67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65">
        <f>T16+T22+T34</f>
        <v>122</v>
      </c>
    </row>
    <row r="36" spans="1:20" ht="18.75" customHeight="1" x14ac:dyDescent="0.2">
      <c r="A36" s="30" t="s">
        <v>182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6"/>
    </row>
    <row r="37" spans="1:20" ht="15" customHeight="1" x14ac:dyDescent="0.2">
      <c r="A37" s="32" t="s">
        <v>183</v>
      </c>
      <c r="B37" s="33"/>
      <c r="C37" s="33"/>
      <c r="D37" s="33"/>
      <c r="E37" s="33"/>
      <c r="F37" s="33"/>
      <c r="G37" s="33"/>
      <c r="H37" s="33"/>
      <c r="I37" s="33"/>
      <c r="J37" s="235" t="s">
        <v>184</v>
      </c>
      <c r="K37" s="235"/>
      <c r="L37" s="235"/>
      <c r="M37" s="235"/>
      <c r="N37" s="235"/>
      <c r="O37" s="236"/>
      <c r="P37" s="49" t="s">
        <v>185</v>
      </c>
      <c r="Q37" s="49" t="s">
        <v>186</v>
      </c>
      <c r="R37" s="67" t="s">
        <v>187</v>
      </c>
      <c r="S37" s="49" t="s">
        <v>188</v>
      </c>
      <c r="T37" s="68" t="s">
        <v>165</v>
      </c>
    </row>
    <row r="38" spans="1:20" ht="10.5" customHeight="1" x14ac:dyDescent="0.2">
      <c r="A38" s="293" t="s">
        <v>71</v>
      </c>
      <c r="B38" s="349" t="s">
        <v>189</v>
      </c>
      <c r="C38" s="240"/>
      <c r="D38" s="240"/>
      <c r="E38" s="240"/>
      <c r="F38" s="240"/>
      <c r="G38" s="240"/>
      <c r="H38" s="240"/>
      <c r="I38" s="240"/>
      <c r="J38" s="237" t="s">
        <v>190</v>
      </c>
      <c r="K38" s="237"/>
      <c r="L38" s="237"/>
      <c r="M38" s="237"/>
      <c r="N38" s="237"/>
      <c r="O38" s="237"/>
      <c r="P38" s="50">
        <v>10</v>
      </c>
      <c r="Q38" s="50"/>
      <c r="R38" s="50"/>
      <c r="S38" s="50"/>
      <c r="T38" s="69">
        <f>P38+Q38+R38+S38/4</f>
        <v>10</v>
      </c>
    </row>
    <row r="39" spans="1:20" ht="10.5" customHeight="1" x14ac:dyDescent="0.2">
      <c r="A39" s="294"/>
      <c r="B39" s="350"/>
      <c r="C39" s="350"/>
      <c r="D39" s="350"/>
      <c r="E39" s="350"/>
      <c r="F39" s="350"/>
      <c r="G39" s="350"/>
      <c r="H39" s="350"/>
      <c r="I39" s="350"/>
      <c r="J39" s="238" t="s">
        <v>191</v>
      </c>
      <c r="K39" s="238"/>
      <c r="L39" s="238"/>
      <c r="M39" s="238"/>
      <c r="N39" s="238"/>
      <c r="O39" s="238"/>
      <c r="P39" s="51">
        <v>100</v>
      </c>
      <c r="Q39" s="51"/>
      <c r="R39" s="51"/>
      <c r="S39" s="51"/>
      <c r="T39" s="69">
        <f t="shared" ref="T39:T43" si="1">P39+Q39+R39+S39/4</f>
        <v>100</v>
      </c>
    </row>
    <row r="40" spans="1:20" ht="10.5" customHeight="1" x14ac:dyDescent="0.2">
      <c r="A40" s="294"/>
      <c r="B40" s="350"/>
      <c r="C40" s="350"/>
      <c r="D40" s="350"/>
      <c r="E40" s="350"/>
      <c r="F40" s="350"/>
      <c r="G40" s="350"/>
      <c r="H40" s="350"/>
      <c r="I40" s="350"/>
      <c r="J40" s="238" t="s">
        <v>192</v>
      </c>
      <c r="K40" s="238"/>
      <c r="L40" s="238"/>
      <c r="M40" s="238"/>
      <c r="N40" s="238"/>
      <c r="O40" s="238"/>
      <c r="P40" s="51"/>
      <c r="Q40" s="51"/>
      <c r="R40" s="51"/>
      <c r="S40" s="51"/>
      <c r="T40" s="69">
        <f t="shared" si="1"/>
        <v>0</v>
      </c>
    </row>
    <row r="41" spans="1:20" ht="10.5" customHeight="1" x14ac:dyDescent="0.2">
      <c r="A41" s="294"/>
      <c r="B41" s="350"/>
      <c r="C41" s="350"/>
      <c r="D41" s="350"/>
      <c r="E41" s="350"/>
      <c r="F41" s="350"/>
      <c r="G41" s="350"/>
      <c r="H41" s="350"/>
      <c r="I41" s="350"/>
      <c r="J41" s="238" t="s">
        <v>193</v>
      </c>
      <c r="K41" s="238"/>
      <c r="L41" s="238"/>
      <c r="M41" s="238"/>
      <c r="N41" s="238"/>
      <c r="O41" s="238"/>
      <c r="P41" s="51"/>
      <c r="Q41" s="51"/>
      <c r="R41" s="51"/>
      <c r="S41" s="51"/>
      <c r="T41" s="69">
        <f t="shared" si="1"/>
        <v>0</v>
      </c>
    </row>
    <row r="42" spans="1:20" ht="10.5" customHeight="1" x14ac:dyDescent="0.2">
      <c r="A42" s="294"/>
      <c r="B42" s="350"/>
      <c r="C42" s="350"/>
      <c r="D42" s="350"/>
      <c r="E42" s="350"/>
      <c r="F42" s="350"/>
      <c r="G42" s="350"/>
      <c r="H42" s="350"/>
      <c r="I42" s="350"/>
      <c r="J42" s="238" t="s">
        <v>194</v>
      </c>
      <c r="K42" s="238"/>
      <c r="L42" s="238"/>
      <c r="M42" s="238"/>
      <c r="N42" s="238"/>
      <c r="O42" s="238"/>
      <c r="P42" s="51"/>
      <c r="Q42" s="51"/>
      <c r="R42" s="51"/>
      <c r="S42" s="51"/>
      <c r="T42" s="69">
        <f t="shared" si="1"/>
        <v>0</v>
      </c>
    </row>
    <row r="43" spans="1:20" ht="17.25" customHeight="1" x14ac:dyDescent="0.2">
      <c r="A43" s="295"/>
      <c r="B43" s="351"/>
      <c r="C43" s="351"/>
      <c r="D43" s="351"/>
      <c r="E43" s="351"/>
      <c r="F43" s="351"/>
      <c r="G43" s="351"/>
      <c r="H43" s="351"/>
      <c r="I43" s="351"/>
      <c r="J43" s="239" t="s">
        <v>195</v>
      </c>
      <c r="K43" s="239"/>
      <c r="L43" s="239"/>
      <c r="M43" s="239"/>
      <c r="N43" s="239"/>
      <c r="O43" s="239"/>
      <c r="P43" s="52"/>
      <c r="Q43" s="52"/>
      <c r="R43" s="52"/>
      <c r="S43" s="52"/>
      <c r="T43" s="69">
        <f t="shared" si="1"/>
        <v>0</v>
      </c>
    </row>
    <row r="44" spans="1:20" ht="16.5" customHeight="1" x14ac:dyDescent="0.2">
      <c r="A44" s="34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53"/>
      <c r="M44" s="53"/>
      <c r="N44" s="53"/>
      <c r="O44" s="54"/>
      <c r="P44" s="55"/>
      <c r="Q44" s="55"/>
      <c r="R44" s="55"/>
      <c r="S44" s="55"/>
      <c r="T44" s="70">
        <f>T38+T39+T40+T41+T42+T43</f>
        <v>110</v>
      </c>
    </row>
    <row r="45" spans="1:20" ht="11.25" customHeight="1" x14ac:dyDescent="0.2">
      <c r="A45" s="243" t="s">
        <v>79</v>
      </c>
      <c r="B45" s="226" t="s">
        <v>80</v>
      </c>
      <c r="C45" s="220"/>
      <c r="D45" s="220"/>
      <c r="E45" s="220"/>
      <c r="F45" s="220"/>
      <c r="G45" s="220"/>
      <c r="H45" s="220"/>
      <c r="I45" s="220"/>
      <c r="J45" s="237" t="s">
        <v>94</v>
      </c>
      <c r="K45" s="237"/>
      <c r="L45" s="237"/>
      <c r="M45" s="237"/>
      <c r="N45" s="237"/>
      <c r="O45" s="237"/>
      <c r="P45" s="50"/>
      <c r="Q45" s="50"/>
      <c r="R45" s="50"/>
      <c r="S45" s="50"/>
      <c r="T45" s="69">
        <f>P45+Q45+R45+S45</f>
        <v>0</v>
      </c>
    </row>
    <row r="46" spans="1:20" ht="11.25" customHeight="1" x14ac:dyDescent="0.2">
      <c r="A46" s="223"/>
      <c r="B46" s="216"/>
      <c r="C46" s="216"/>
      <c r="D46" s="216"/>
      <c r="E46" s="216"/>
      <c r="F46" s="216"/>
      <c r="G46" s="216"/>
      <c r="H46" s="216"/>
      <c r="I46" s="216"/>
      <c r="J46" s="238" t="s">
        <v>196</v>
      </c>
      <c r="K46" s="238"/>
      <c r="L46" s="238"/>
      <c r="M46" s="238"/>
      <c r="N46" s="238"/>
      <c r="O46" s="238"/>
      <c r="P46" s="51"/>
      <c r="Q46" s="51"/>
      <c r="R46" s="51"/>
      <c r="S46" s="51"/>
      <c r="T46" s="69">
        <f t="shared" ref="T46:T49" si="2">P46+Q46+R46+S46</f>
        <v>0</v>
      </c>
    </row>
    <row r="47" spans="1:20" ht="11.25" customHeight="1" x14ac:dyDescent="0.2">
      <c r="A47" s="223"/>
      <c r="B47" s="216"/>
      <c r="C47" s="216"/>
      <c r="D47" s="216"/>
      <c r="E47" s="216"/>
      <c r="F47" s="216"/>
      <c r="G47" s="216"/>
      <c r="H47" s="216"/>
      <c r="I47" s="216"/>
      <c r="J47" s="238" t="s">
        <v>197</v>
      </c>
      <c r="K47" s="238"/>
      <c r="L47" s="238"/>
      <c r="M47" s="238"/>
      <c r="N47" s="238"/>
      <c r="O47" s="238"/>
      <c r="P47" s="51"/>
      <c r="Q47" s="51"/>
      <c r="R47" s="51"/>
      <c r="S47" s="51"/>
      <c r="T47" s="69">
        <f t="shared" si="2"/>
        <v>0</v>
      </c>
    </row>
    <row r="48" spans="1:20" ht="11.25" customHeight="1" x14ac:dyDescent="0.2">
      <c r="A48" s="223"/>
      <c r="B48" s="216"/>
      <c r="C48" s="216"/>
      <c r="D48" s="216"/>
      <c r="E48" s="216"/>
      <c r="F48" s="216"/>
      <c r="G48" s="216"/>
      <c r="H48" s="216"/>
      <c r="I48" s="216"/>
      <c r="J48" s="238" t="s">
        <v>198</v>
      </c>
      <c r="K48" s="238"/>
      <c r="L48" s="238"/>
      <c r="M48" s="238"/>
      <c r="N48" s="238"/>
      <c r="O48" s="238"/>
      <c r="P48" s="51"/>
      <c r="Q48" s="51"/>
      <c r="R48" s="51"/>
      <c r="S48" s="51"/>
      <c r="T48" s="69">
        <f t="shared" si="2"/>
        <v>0</v>
      </c>
    </row>
    <row r="49" spans="1:20" ht="11.25" customHeight="1" x14ac:dyDescent="0.2">
      <c r="A49" s="223"/>
      <c r="B49" s="216"/>
      <c r="C49" s="216"/>
      <c r="D49" s="216"/>
      <c r="E49" s="216"/>
      <c r="F49" s="216"/>
      <c r="G49" s="216"/>
      <c r="H49" s="216"/>
      <c r="I49" s="216"/>
      <c r="J49" s="238" t="s">
        <v>199</v>
      </c>
      <c r="K49" s="238"/>
      <c r="L49" s="238"/>
      <c r="M49" s="238"/>
      <c r="N49" s="238"/>
      <c r="O49" s="238"/>
      <c r="P49" s="51"/>
      <c r="Q49" s="51"/>
      <c r="R49" s="51"/>
      <c r="S49" s="51"/>
      <c r="T49" s="69">
        <f t="shared" si="2"/>
        <v>0</v>
      </c>
    </row>
    <row r="50" spans="1:20" ht="18.75" customHeight="1" x14ac:dyDescent="0.2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56"/>
      <c r="M50" s="56"/>
      <c r="N50" s="56"/>
      <c r="O50" s="56"/>
      <c r="P50" s="57"/>
      <c r="Q50" s="55"/>
      <c r="R50" s="55"/>
      <c r="S50" s="71"/>
      <c r="T50" s="72">
        <f>T45+T46+T47+T48+T49</f>
        <v>0</v>
      </c>
    </row>
    <row r="51" spans="1:20" ht="18.75" customHeight="1" x14ac:dyDescent="0.2">
      <c r="A51" s="243" t="s">
        <v>81</v>
      </c>
      <c r="B51" s="226" t="s">
        <v>82</v>
      </c>
      <c r="C51" s="220"/>
      <c r="D51" s="220"/>
      <c r="E51" s="220"/>
      <c r="F51" s="220"/>
      <c r="G51" s="220"/>
      <c r="H51" s="220"/>
      <c r="I51" s="220"/>
      <c r="J51" s="237" t="s">
        <v>94</v>
      </c>
      <c r="K51" s="237"/>
      <c r="L51" s="237"/>
      <c r="M51" s="237"/>
      <c r="N51" s="237"/>
      <c r="O51" s="237"/>
      <c r="P51" s="50"/>
      <c r="Q51" s="50"/>
      <c r="R51" s="50"/>
      <c r="S51" s="50"/>
      <c r="T51" s="69">
        <f>P51+Q51+R51+S51</f>
        <v>0</v>
      </c>
    </row>
    <row r="52" spans="1:20" ht="18.75" customHeight="1" x14ac:dyDescent="0.2">
      <c r="A52" s="223"/>
      <c r="B52" s="216"/>
      <c r="C52" s="216"/>
      <c r="D52" s="216"/>
      <c r="E52" s="216"/>
      <c r="F52" s="216"/>
      <c r="G52" s="216"/>
      <c r="H52" s="216"/>
      <c r="I52" s="216"/>
      <c r="J52" s="238" t="s">
        <v>196</v>
      </c>
      <c r="K52" s="238"/>
      <c r="L52" s="238"/>
      <c r="M52" s="238"/>
      <c r="N52" s="238"/>
      <c r="O52" s="238"/>
      <c r="P52" s="51"/>
      <c r="Q52" s="51"/>
      <c r="R52" s="51"/>
      <c r="S52" s="51"/>
      <c r="T52" s="69">
        <f t="shared" ref="T52:T55" si="3">P52+Q52+R52+S52</f>
        <v>0</v>
      </c>
    </row>
    <row r="53" spans="1:20" ht="18.75" customHeight="1" x14ac:dyDescent="0.2">
      <c r="A53" s="223"/>
      <c r="B53" s="216"/>
      <c r="C53" s="216"/>
      <c r="D53" s="216"/>
      <c r="E53" s="216"/>
      <c r="F53" s="216"/>
      <c r="G53" s="216"/>
      <c r="H53" s="216"/>
      <c r="I53" s="216"/>
      <c r="J53" s="238" t="s">
        <v>197</v>
      </c>
      <c r="K53" s="238"/>
      <c r="L53" s="238"/>
      <c r="M53" s="238"/>
      <c r="N53" s="238"/>
      <c r="O53" s="238"/>
      <c r="P53" s="51"/>
      <c r="Q53" s="51"/>
      <c r="R53" s="51"/>
      <c r="S53" s="51"/>
      <c r="T53" s="69">
        <f t="shared" si="3"/>
        <v>0</v>
      </c>
    </row>
    <row r="54" spans="1:20" ht="18.75" customHeight="1" x14ac:dyDescent="0.2">
      <c r="A54" s="223"/>
      <c r="B54" s="216"/>
      <c r="C54" s="216"/>
      <c r="D54" s="216"/>
      <c r="E54" s="216"/>
      <c r="F54" s="216"/>
      <c r="G54" s="216"/>
      <c r="H54" s="216"/>
      <c r="I54" s="216"/>
      <c r="J54" s="238" t="s">
        <v>198</v>
      </c>
      <c r="K54" s="238"/>
      <c r="L54" s="238"/>
      <c r="M54" s="238"/>
      <c r="N54" s="238"/>
      <c r="O54" s="238"/>
      <c r="P54" s="51"/>
      <c r="Q54" s="51"/>
      <c r="R54" s="51"/>
      <c r="S54" s="51"/>
      <c r="T54" s="69">
        <f t="shared" si="3"/>
        <v>0</v>
      </c>
    </row>
    <row r="55" spans="1:20" ht="18.75" customHeight="1" x14ac:dyDescent="0.2">
      <c r="A55" s="223"/>
      <c r="B55" s="216"/>
      <c r="C55" s="216"/>
      <c r="D55" s="216"/>
      <c r="E55" s="216"/>
      <c r="F55" s="216"/>
      <c r="G55" s="216"/>
      <c r="H55" s="216"/>
      <c r="I55" s="216"/>
      <c r="J55" s="238" t="s">
        <v>199</v>
      </c>
      <c r="K55" s="238"/>
      <c r="L55" s="238"/>
      <c r="M55" s="238"/>
      <c r="N55" s="238"/>
      <c r="O55" s="238"/>
      <c r="P55" s="51"/>
      <c r="Q55" s="51"/>
      <c r="R55" s="51"/>
      <c r="S55" s="51"/>
      <c r="T55" s="69">
        <f t="shared" si="3"/>
        <v>0</v>
      </c>
    </row>
    <row r="56" spans="1:20" ht="18.75" customHeight="1" x14ac:dyDescent="0.2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56"/>
      <c r="M56" s="56"/>
      <c r="N56" s="56"/>
      <c r="O56" s="56"/>
      <c r="P56" s="57"/>
      <c r="Q56" s="55"/>
      <c r="R56" s="55"/>
      <c r="S56" s="71"/>
      <c r="T56" s="72">
        <f>T51+T52+T53+T54+T55</f>
        <v>0</v>
      </c>
    </row>
    <row r="57" spans="1:20" ht="9.75" customHeight="1" x14ac:dyDescent="0.2">
      <c r="A57" s="243" t="s">
        <v>83</v>
      </c>
      <c r="B57" s="255" t="s">
        <v>200</v>
      </c>
      <c r="C57" s="255"/>
      <c r="D57" s="255"/>
      <c r="E57" s="255"/>
      <c r="F57" s="255"/>
      <c r="G57" s="255"/>
      <c r="H57" s="255"/>
      <c r="I57" s="255"/>
      <c r="J57" s="237" t="s">
        <v>201</v>
      </c>
      <c r="K57" s="237"/>
      <c r="L57" s="237"/>
      <c r="M57" s="237"/>
      <c r="N57" s="237"/>
      <c r="O57" s="237"/>
      <c r="P57" s="50"/>
      <c r="Q57" s="50"/>
      <c r="R57" s="50"/>
      <c r="S57" s="50"/>
      <c r="T57" s="69">
        <f>P57+Q57+R57+S57</f>
        <v>0</v>
      </c>
    </row>
    <row r="58" spans="1:20" ht="9.75" customHeight="1" x14ac:dyDescent="0.2">
      <c r="A58" s="223"/>
      <c r="B58" s="219"/>
      <c r="C58" s="219"/>
      <c r="D58" s="219"/>
      <c r="E58" s="219"/>
      <c r="F58" s="219"/>
      <c r="G58" s="219"/>
      <c r="H58" s="219"/>
      <c r="I58" s="219"/>
      <c r="J58" s="238" t="s">
        <v>202</v>
      </c>
      <c r="K58" s="238"/>
      <c r="L58" s="238"/>
      <c r="M58" s="238"/>
      <c r="N58" s="238"/>
      <c r="O58" s="238"/>
      <c r="P58" s="51"/>
      <c r="Q58" s="51"/>
      <c r="R58" s="51"/>
      <c r="S58" s="51"/>
      <c r="T58" s="69">
        <f t="shared" ref="T58:T61" si="4">P58+Q58+R58+S58</f>
        <v>0</v>
      </c>
    </row>
    <row r="59" spans="1:20" ht="9.75" customHeight="1" x14ac:dyDescent="0.2">
      <c r="A59" s="223"/>
      <c r="B59" s="219"/>
      <c r="C59" s="219"/>
      <c r="D59" s="219"/>
      <c r="E59" s="219"/>
      <c r="F59" s="219"/>
      <c r="G59" s="219"/>
      <c r="H59" s="219"/>
      <c r="I59" s="219"/>
      <c r="J59" s="238" t="s">
        <v>203</v>
      </c>
      <c r="K59" s="238"/>
      <c r="L59" s="238"/>
      <c r="M59" s="238"/>
      <c r="N59" s="238"/>
      <c r="O59" s="238"/>
      <c r="P59" s="51">
        <v>20</v>
      </c>
      <c r="Q59" s="51"/>
      <c r="R59" s="51"/>
      <c r="S59" s="51"/>
      <c r="T59" s="69">
        <f t="shared" si="4"/>
        <v>20</v>
      </c>
    </row>
    <row r="60" spans="1:20" ht="9.75" customHeight="1" x14ac:dyDescent="0.2">
      <c r="A60" s="223"/>
      <c r="B60" s="219"/>
      <c r="C60" s="219"/>
      <c r="D60" s="219"/>
      <c r="E60" s="219"/>
      <c r="F60" s="219"/>
      <c r="G60" s="219"/>
      <c r="H60" s="219"/>
      <c r="I60" s="219"/>
      <c r="J60" s="238" t="s">
        <v>204</v>
      </c>
      <c r="K60" s="238"/>
      <c r="L60" s="238"/>
      <c r="M60" s="238"/>
      <c r="N60" s="238"/>
      <c r="O60" s="238"/>
      <c r="P60" s="51"/>
      <c r="Q60" s="51"/>
      <c r="R60" s="51"/>
      <c r="S60" s="51"/>
      <c r="T60" s="69">
        <f t="shared" si="4"/>
        <v>0</v>
      </c>
    </row>
    <row r="61" spans="1:20" ht="78" customHeight="1" x14ac:dyDescent="0.2">
      <c r="A61" s="244"/>
      <c r="B61" s="256"/>
      <c r="C61" s="256"/>
      <c r="D61" s="256"/>
      <c r="E61" s="256"/>
      <c r="F61" s="256"/>
      <c r="G61" s="256"/>
      <c r="H61" s="256"/>
      <c r="I61" s="256"/>
      <c r="J61" s="245" t="s">
        <v>205</v>
      </c>
      <c r="K61" s="245"/>
      <c r="L61" s="245"/>
      <c r="M61" s="245"/>
      <c r="N61" s="245"/>
      <c r="O61" s="245"/>
      <c r="P61" s="52"/>
      <c r="Q61" s="52"/>
      <c r="R61" s="52"/>
      <c r="S61" s="52"/>
      <c r="T61" s="69">
        <f t="shared" si="4"/>
        <v>0</v>
      </c>
    </row>
    <row r="62" spans="1:20" ht="16.5" customHeight="1" x14ac:dyDescent="0.2">
      <c r="A62" s="3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56"/>
      <c r="M62" s="56"/>
      <c r="N62" s="56"/>
      <c r="O62" s="56"/>
      <c r="P62" s="57"/>
      <c r="Q62" s="55"/>
      <c r="R62" s="55"/>
      <c r="S62" s="71"/>
      <c r="T62" s="73">
        <f>T57+T58+T59+T61</f>
        <v>20</v>
      </c>
    </row>
    <row r="63" spans="1:20" ht="18" customHeight="1" x14ac:dyDescent="0.2">
      <c r="A63" s="243" t="s">
        <v>89</v>
      </c>
      <c r="B63" s="249" t="s">
        <v>88</v>
      </c>
      <c r="C63" s="250"/>
      <c r="D63" s="250"/>
      <c r="E63" s="250"/>
      <c r="F63" s="250"/>
      <c r="G63" s="250"/>
      <c r="H63" s="250"/>
      <c r="I63" s="250"/>
      <c r="J63" s="237" t="s">
        <v>206</v>
      </c>
      <c r="K63" s="237"/>
      <c r="L63" s="237"/>
      <c r="M63" s="237"/>
      <c r="N63" s="237"/>
      <c r="O63" s="237"/>
      <c r="P63" s="50">
        <v>3</v>
      </c>
      <c r="Q63" s="50"/>
      <c r="R63" s="50"/>
      <c r="S63" s="50"/>
      <c r="T63" s="74">
        <f>P63+Q63+R63+S63</f>
        <v>3</v>
      </c>
    </row>
    <row r="64" spans="1:20" ht="10.5" customHeight="1" x14ac:dyDescent="0.2">
      <c r="A64" s="223"/>
      <c r="B64" s="251"/>
      <c r="C64" s="252"/>
      <c r="D64" s="252"/>
      <c r="E64" s="252"/>
      <c r="F64" s="252"/>
      <c r="G64" s="252"/>
      <c r="H64" s="252"/>
      <c r="I64" s="252"/>
      <c r="J64" s="238" t="s">
        <v>207</v>
      </c>
      <c r="K64" s="238"/>
      <c r="L64" s="238"/>
      <c r="M64" s="238"/>
      <c r="N64" s="238"/>
      <c r="O64" s="238"/>
      <c r="P64" s="51"/>
      <c r="Q64" s="51"/>
      <c r="R64" s="51"/>
      <c r="S64" s="51"/>
      <c r="T64" s="74">
        <f t="shared" ref="T64:T67" si="5">P64+Q64+R64+S64</f>
        <v>0</v>
      </c>
    </row>
    <row r="65" spans="1:20" ht="10.5" customHeight="1" x14ac:dyDescent="0.2">
      <c r="A65" s="223"/>
      <c r="B65" s="251"/>
      <c r="C65" s="252"/>
      <c r="D65" s="252"/>
      <c r="E65" s="252"/>
      <c r="F65" s="252"/>
      <c r="G65" s="252"/>
      <c r="H65" s="252"/>
      <c r="I65" s="252"/>
      <c r="J65" s="238" t="s">
        <v>208</v>
      </c>
      <c r="K65" s="238"/>
      <c r="L65" s="238"/>
      <c r="M65" s="238"/>
      <c r="N65" s="238"/>
      <c r="O65" s="238"/>
      <c r="P65" s="51"/>
      <c r="Q65" s="51"/>
      <c r="R65" s="51"/>
      <c r="S65" s="51"/>
      <c r="T65" s="74">
        <f t="shared" si="5"/>
        <v>0</v>
      </c>
    </row>
    <row r="66" spans="1:20" ht="10.5" customHeight="1" x14ac:dyDescent="0.2">
      <c r="A66" s="223"/>
      <c r="B66" s="251"/>
      <c r="C66" s="252"/>
      <c r="D66" s="252"/>
      <c r="E66" s="252"/>
      <c r="F66" s="252"/>
      <c r="G66" s="252"/>
      <c r="H66" s="252"/>
      <c r="I66" s="252"/>
      <c r="J66" s="238" t="s">
        <v>209</v>
      </c>
      <c r="K66" s="238"/>
      <c r="L66" s="238"/>
      <c r="M66" s="238"/>
      <c r="N66" s="238"/>
      <c r="O66" s="238"/>
      <c r="P66" s="51"/>
      <c r="Q66" s="51"/>
      <c r="R66" s="51"/>
      <c r="S66" s="51"/>
      <c r="T66" s="74">
        <f t="shared" si="5"/>
        <v>0</v>
      </c>
    </row>
    <row r="67" spans="1:20" ht="13.5" customHeight="1" x14ac:dyDescent="0.2">
      <c r="A67" s="244"/>
      <c r="B67" s="253"/>
      <c r="C67" s="254"/>
      <c r="D67" s="254"/>
      <c r="E67" s="254"/>
      <c r="F67" s="254"/>
      <c r="G67" s="254"/>
      <c r="H67" s="254"/>
      <c r="I67" s="254"/>
      <c r="J67" s="239" t="s">
        <v>210</v>
      </c>
      <c r="K67" s="239"/>
      <c r="L67" s="239"/>
      <c r="M67" s="239"/>
      <c r="N67" s="239"/>
      <c r="O67" s="239"/>
      <c r="P67" s="52"/>
      <c r="Q67" s="52"/>
      <c r="R67" s="52"/>
      <c r="S67" s="52"/>
      <c r="T67" s="74">
        <f t="shared" si="5"/>
        <v>0</v>
      </c>
    </row>
    <row r="68" spans="1:20" ht="21.75" customHeight="1" x14ac:dyDescent="0.2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56"/>
      <c r="M68" s="56"/>
      <c r="N68" s="56"/>
      <c r="O68" s="56"/>
      <c r="P68" s="57"/>
      <c r="Q68" s="55"/>
      <c r="R68" s="55"/>
      <c r="S68" s="71"/>
      <c r="T68" s="114">
        <f>T63+T64+T66+T67</f>
        <v>3</v>
      </c>
    </row>
    <row r="69" spans="1:20" ht="12" customHeight="1" x14ac:dyDescent="0.2">
      <c r="A69" s="243" t="s">
        <v>87</v>
      </c>
      <c r="B69" s="255" t="s">
        <v>90</v>
      </c>
      <c r="C69" s="255"/>
      <c r="D69" s="255"/>
      <c r="E69" s="255"/>
      <c r="F69" s="255"/>
      <c r="G69" s="255"/>
      <c r="H69" s="255"/>
      <c r="I69" s="255"/>
      <c r="J69" s="237" t="s">
        <v>207</v>
      </c>
      <c r="K69" s="237"/>
      <c r="L69" s="237"/>
      <c r="M69" s="237"/>
      <c r="N69" s="237"/>
      <c r="O69" s="237"/>
      <c r="P69" s="50"/>
      <c r="Q69" s="50"/>
      <c r="R69" s="50"/>
      <c r="S69" s="69"/>
      <c r="T69" s="115">
        <f>P69+Q69+R69+S69</f>
        <v>0</v>
      </c>
    </row>
    <row r="70" spans="1:20" ht="12" customHeight="1" x14ac:dyDescent="0.2">
      <c r="A70" s="223"/>
      <c r="B70" s="219"/>
      <c r="C70" s="219"/>
      <c r="D70" s="219"/>
      <c r="E70" s="219"/>
      <c r="F70" s="219"/>
      <c r="G70" s="219"/>
      <c r="H70" s="219"/>
      <c r="I70" s="219"/>
      <c r="J70" s="238" t="s">
        <v>211</v>
      </c>
      <c r="K70" s="238"/>
      <c r="L70" s="238"/>
      <c r="M70" s="238"/>
      <c r="N70" s="238"/>
      <c r="O70" s="238"/>
      <c r="P70" s="16"/>
      <c r="Q70" s="116"/>
      <c r="R70" s="51"/>
      <c r="S70" s="117"/>
      <c r="T70" s="115">
        <f t="shared" ref="T70:T72" si="6">P70+Q70+R70+S70</f>
        <v>0</v>
      </c>
    </row>
    <row r="71" spans="1:20" ht="12" customHeight="1" x14ac:dyDescent="0.2">
      <c r="A71" s="223"/>
      <c r="B71" s="219"/>
      <c r="C71" s="219"/>
      <c r="D71" s="219"/>
      <c r="E71" s="219"/>
      <c r="F71" s="219"/>
      <c r="G71" s="219"/>
      <c r="H71" s="219"/>
      <c r="I71" s="219"/>
      <c r="J71" s="238" t="s">
        <v>203</v>
      </c>
      <c r="K71" s="238"/>
      <c r="L71" s="238"/>
      <c r="M71" s="238"/>
      <c r="N71" s="238"/>
      <c r="O71" s="238"/>
      <c r="P71" s="16"/>
      <c r="Q71" s="116"/>
      <c r="R71" s="51"/>
      <c r="S71" s="117"/>
      <c r="T71" s="115">
        <f t="shared" si="6"/>
        <v>0</v>
      </c>
    </row>
    <row r="72" spans="1:20" ht="12" customHeight="1" x14ac:dyDescent="0.2">
      <c r="A72" s="244"/>
      <c r="B72" s="256"/>
      <c r="C72" s="256"/>
      <c r="D72" s="256"/>
      <c r="E72" s="256"/>
      <c r="F72" s="256"/>
      <c r="G72" s="256"/>
      <c r="H72" s="256"/>
      <c r="I72" s="256"/>
      <c r="J72" s="239" t="s">
        <v>212</v>
      </c>
      <c r="K72" s="239"/>
      <c r="L72" s="239"/>
      <c r="M72" s="239"/>
      <c r="N72" s="239"/>
      <c r="O72" s="239"/>
      <c r="P72" s="96"/>
      <c r="Q72" s="118"/>
      <c r="R72" s="52"/>
      <c r="S72" s="119"/>
      <c r="T72" s="115">
        <f t="shared" si="6"/>
        <v>0</v>
      </c>
    </row>
    <row r="73" spans="1:20" ht="9.75" customHeight="1" x14ac:dyDescent="0.2">
      <c r="A73" s="37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56"/>
      <c r="M73" s="56"/>
      <c r="N73" s="56"/>
      <c r="O73" s="56"/>
      <c r="P73" s="97"/>
      <c r="Q73" s="120"/>
      <c r="R73" s="121"/>
      <c r="S73" s="121"/>
      <c r="T73" s="122">
        <f>T69+T70+T71+T72</f>
        <v>0</v>
      </c>
    </row>
    <row r="74" spans="1:20" ht="21.75" customHeight="1" x14ac:dyDescent="0.2">
      <c r="A74" s="246" t="s">
        <v>213</v>
      </c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8"/>
      <c r="T74" s="123">
        <f>T44+T50+T62+T73</f>
        <v>130</v>
      </c>
    </row>
    <row r="75" spans="1:20" ht="9" customHeight="1" x14ac:dyDescent="0.2">
      <c r="A75" s="364" t="s">
        <v>214</v>
      </c>
      <c r="B75" s="365"/>
      <c r="C75" s="366"/>
      <c r="D75" s="370" t="s">
        <v>14</v>
      </c>
      <c r="E75" s="371"/>
      <c r="F75" s="371"/>
      <c r="G75" s="371"/>
      <c r="H75" s="365"/>
      <c r="I75" s="365"/>
      <c r="J75" s="365"/>
      <c r="K75" s="366"/>
      <c r="L75" s="220" t="s">
        <v>185</v>
      </c>
      <c r="M75" s="220"/>
      <c r="N75" s="226" t="s">
        <v>186</v>
      </c>
      <c r="O75" s="226"/>
      <c r="P75" s="240" t="s">
        <v>187</v>
      </c>
      <c r="Q75" s="240"/>
      <c r="R75" s="241" t="s">
        <v>188</v>
      </c>
      <c r="S75" s="242"/>
      <c r="T75" s="314" t="s">
        <v>215</v>
      </c>
    </row>
    <row r="76" spans="1:20" ht="17.25" customHeight="1" x14ac:dyDescent="0.2">
      <c r="A76" s="367"/>
      <c r="B76" s="368"/>
      <c r="C76" s="369"/>
      <c r="D76" s="372"/>
      <c r="E76" s="368"/>
      <c r="F76" s="368"/>
      <c r="G76" s="368"/>
      <c r="H76" s="368"/>
      <c r="I76" s="368"/>
      <c r="J76" s="368"/>
      <c r="K76" s="369"/>
      <c r="L76" s="47" t="s">
        <v>216</v>
      </c>
      <c r="M76" s="47" t="s">
        <v>217</v>
      </c>
      <c r="N76" s="47" t="s">
        <v>216</v>
      </c>
      <c r="O76" s="47" t="s">
        <v>217</v>
      </c>
      <c r="P76" s="18" t="s">
        <v>216</v>
      </c>
      <c r="Q76" s="18" t="s">
        <v>217</v>
      </c>
      <c r="R76" s="18" t="s">
        <v>216</v>
      </c>
      <c r="S76" s="18" t="s">
        <v>217</v>
      </c>
      <c r="T76" s="315"/>
    </row>
    <row r="77" spans="1:20" ht="11.25" customHeight="1" x14ac:dyDescent="0.2">
      <c r="A77" s="223" t="s">
        <v>71</v>
      </c>
      <c r="B77" s="360" t="s">
        <v>218</v>
      </c>
      <c r="C77" s="361"/>
      <c r="D77" s="209" t="s">
        <v>219</v>
      </c>
      <c r="E77" s="209"/>
      <c r="F77" s="209"/>
      <c r="G77" s="209"/>
      <c r="H77" s="209"/>
      <c r="I77" s="209"/>
      <c r="J77" s="209"/>
      <c r="K77" s="209"/>
      <c r="L77" s="98">
        <v>20</v>
      </c>
      <c r="M77" s="98"/>
      <c r="N77" s="99"/>
      <c r="O77" s="99"/>
      <c r="P77" s="51"/>
      <c r="Q77" s="51"/>
      <c r="R77" s="51"/>
      <c r="S77" s="51"/>
      <c r="T77" s="117">
        <f>L77+M77+N77+O77+P77+Q77+R77+S77</f>
        <v>20</v>
      </c>
    </row>
    <row r="78" spans="1:20" ht="11.25" customHeight="1" x14ac:dyDescent="0.2">
      <c r="A78" s="223"/>
      <c r="B78" s="362"/>
      <c r="C78" s="363"/>
      <c r="D78" s="209" t="s">
        <v>220</v>
      </c>
      <c r="E78" s="209"/>
      <c r="F78" s="209"/>
      <c r="G78" s="209"/>
      <c r="H78" s="209"/>
      <c r="I78" s="209"/>
      <c r="J78" s="209"/>
      <c r="K78" s="209"/>
      <c r="L78" s="98"/>
      <c r="M78" s="98"/>
      <c r="N78" s="99"/>
      <c r="O78" s="99"/>
      <c r="P78" s="51"/>
      <c r="Q78" s="51"/>
      <c r="R78" s="51"/>
      <c r="S78" s="51"/>
      <c r="T78" s="117">
        <f t="shared" ref="T78:T81" si="7">L78+M78+N78+O78+P78+Q78+R78+S78</f>
        <v>0</v>
      </c>
    </row>
    <row r="79" spans="1:20" ht="11.25" customHeight="1" x14ac:dyDescent="0.2">
      <c r="A79" s="223"/>
      <c r="B79" s="362"/>
      <c r="C79" s="363"/>
      <c r="D79" s="209" t="s">
        <v>221</v>
      </c>
      <c r="E79" s="209"/>
      <c r="F79" s="209"/>
      <c r="G79" s="209"/>
      <c r="H79" s="209"/>
      <c r="I79" s="209"/>
      <c r="J79" s="209"/>
      <c r="K79" s="209"/>
      <c r="L79" s="98"/>
      <c r="M79" s="98"/>
      <c r="N79" s="99"/>
      <c r="O79" s="99"/>
      <c r="P79" s="51"/>
      <c r="Q79" s="51"/>
      <c r="R79" s="51"/>
      <c r="S79" s="51"/>
      <c r="T79" s="117">
        <f t="shared" si="7"/>
        <v>0</v>
      </c>
    </row>
    <row r="80" spans="1:20" ht="11.25" customHeight="1" x14ac:dyDescent="0.2">
      <c r="A80" s="223"/>
      <c r="B80" s="362"/>
      <c r="C80" s="363"/>
      <c r="D80" s="209" t="s">
        <v>222</v>
      </c>
      <c r="E80" s="209"/>
      <c r="F80" s="209"/>
      <c r="G80" s="209"/>
      <c r="H80" s="209"/>
      <c r="I80" s="209"/>
      <c r="J80" s="209"/>
      <c r="K80" s="209"/>
      <c r="L80" s="98"/>
      <c r="M80" s="98"/>
      <c r="N80" s="99"/>
      <c r="O80" s="99"/>
      <c r="P80" s="51"/>
      <c r="Q80" s="51"/>
      <c r="R80" s="51"/>
      <c r="S80" s="51"/>
      <c r="T80" s="117">
        <f t="shared" si="7"/>
        <v>0</v>
      </c>
    </row>
    <row r="81" spans="1:20" ht="11.25" customHeight="1" x14ac:dyDescent="0.2">
      <c r="A81" s="223"/>
      <c r="B81" s="362"/>
      <c r="C81" s="363"/>
      <c r="D81" s="219" t="s">
        <v>223</v>
      </c>
      <c r="E81" s="219"/>
      <c r="F81" s="219"/>
      <c r="G81" s="219"/>
      <c r="H81" s="219"/>
      <c r="I81" s="219"/>
      <c r="J81" s="219"/>
      <c r="K81" s="219"/>
      <c r="L81" s="98"/>
      <c r="M81" s="98"/>
      <c r="N81" s="16"/>
      <c r="O81" s="16"/>
      <c r="P81" s="16"/>
      <c r="Q81" s="116"/>
      <c r="R81" s="51"/>
      <c r="S81" s="51"/>
      <c r="T81" s="117">
        <f t="shared" si="7"/>
        <v>0</v>
      </c>
    </row>
    <row r="82" spans="1:20" ht="23.25" customHeight="1" x14ac:dyDescent="0.2">
      <c r="A82" s="76"/>
      <c r="B82" s="77"/>
      <c r="C82" s="78"/>
      <c r="D82" s="40"/>
      <c r="E82" s="41"/>
      <c r="F82" s="41"/>
      <c r="G82" s="41"/>
      <c r="H82" s="41"/>
      <c r="I82" s="41"/>
      <c r="J82" s="41"/>
      <c r="K82" s="41"/>
      <c r="L82" s="41"/>
      <c r="M82" s="100"/>
      <c r="N82" s="97"/>
      <c r="O82" s="97"/>
      <c r="P82" s="97"/>
      <c r="Q82" s="120"/>
      <c r="R82" s="124"/>
      <c r="S82" s="125"/>
      <c r="T82" s="70">
        <f>T77+T78+T79+T80+T81</f>
        <v>20</v>
      </c>
    </row>
    <row r="83" spans="1:20" ht="15" customHeight="1" x14ac:dyDescent="0.2">
      <c r="A83" s="243" t="s">
        <v>79</v>
      </c>
      <c r="B83" s="324" t="s">
        <v>224</v>
      </c>
      <c r="C83" s="325"/>
      <c r="D83" s="298" t="s">
        <v>225</v>
      </c>
      <c r="E83" s="298"/>
      <c r="F83" s="298"/>
      <c r="G83" s="298"/>
      <c r="H83" s="298"/>
      <c r="I83" s="298"/>
      <c r="J83" s="298"/>
      <c r="K83" s="298"/>
      <c r="L83" s="101">
        <v>5</v>
      </c>
      <c r="M83" s="101"/>
      <c r="N83" s="102"/>
      <c r="O83" s="102"/>
      <c r="P83" s="102"/>
      <c r="Q83" s="126"/>
      <c r="R83" s="126"/>
      <c r="S83" s="126"/>
      <c r="T83" s="69">
        <f>L83+M83+N83+O83+P83+Q83+R83+S83</f>
        <v>5</v>
      </c>
    </row>
    <row r="84" spans="1:20" ht="15" customHeight="1" x14ac:dyDescent="0.2">
      <c r="A84" s="223"/>
      <c r="B84" s="331"/>
      <c r="C84" s="331"/>
      <c r="D84" s="209" t="s">
        <v>226</v>
      </c>
      <c r="E84" s="209"/>
      <c r="F84" s="209"/>
      <c r="G84" s="209"/>
      <c r="H84" s="209"/>
      <c r="I84" s="209"/>
      <c r="J84" s="209"/>
      <c r="K84" s="209"/>
      <c r="L84" s="98"/>
      <c r="M84" s="98"/>
      <c r="N84" s="16"/>
      <c r="O84" s="16"/>
      <c r="P84" s="16"/>
      <c r="Q84" s="116"/>
      <c r="R84" s="116"/>
      <c r="S84" s="116"/>
      <c r="T84" s="69">
        <f t="shared" ref="T84:T87" si="8">L84+M84+N84+O84+P84+Q84+R84+S84</f>
        <v>0</v>
      </c>
    </row>
    <row r="85" spans="1:20" ht="15" customHeight="1" x14ac:dyDescent="0.2">
      <c r="A85" s="223"/>
      <c r="B85" s="331"/>
      <c r="C85" s="331"/>
      <c r="D85" s="209" t="s">
        <v>227</v>
      </c>
      <c r="E85" s="209"/>
      <c r="F85" s="209"/>
      <c r="G85" s="209"/>
      <c r="H85" s="209"/>
      <c r="I85" s="209"/>
      <c r="J85" s="209"/>
      <c r="K85" s="209"/>
      <c r="L85" s="98">
        <v>7</v>
      </c>
      <c r="M85" s="98">
        <v>7</v>
      </c>
      <c r="N85" s="16"/>
      <c r="O85" s="16"/>
      <c r="P85" s="16"/>
      <c r="Q85" s="116"/>
      <c r="R85" s="116"/>
      <c r="S85" s="116"/>
      <c r="T85" s="69">
        <f t="shared" si="8"/>
        <v>14</v>
      </c>
    </row>
    <row r="86" spans="1:20" ht="15" customHeight="1" x14ac:dyDescent="0.2">
      <c r="A86" s="223"/>
      <c r="B86" s="331"/>
      <c r="C86" s="331"/>
      <c r="D86" s="209" t="s">
        <v>228</v>
      </c>
      <c r="E86" s="209"/>
      <c r="F86" s="209"/>
      <c r="G86" s="209"/>
      <c r="H86" s="209"/>
      <c r="I86" s="209"/>
      <c r="J86" s="209"/>
      <c r="K86" s="209"/>
      <c r="L86" s="98"/>
      <c r="M86" s="98"/>
      <c r="N86" s="16"/>
      <c r="O86" s="16"/>
      <c r="P86" s="16"/>
      <c r="Q86" s="116"/>
      <c r="R86" s="116"/>
      <c r="S86" s="116"/>
      <c r="T86" s="69">
        <f t="shared" si="8"/>
        <v>0</v>
      </c>
    </row>
    <row r="87" spans="1:20" ht="15" customHeight="1" x14ac:dyDescent="0.2">
      <c r="A87" s="244"/>
      <c r="B87" s="326"/>
      <c r="C87" s="326"/>
      <c r="D87" s="256" t="s">
        <v>229</v>
      </c>
      <c r="E87" s="256"/>
      <c r="F87" s="256"/>
      <c r="G87" s="256"/>
      <c r="H87" s="256"/>
      <c r="I87" s="256"/>
      <c r="J87" s="256"/>
      <c r="K87" s="256"/>
      <c r="L87" s="103"/>
      <c r="M87" s="103"/>
      <c r="N87" s="96"/>
      <c r="O87" s="96"/>
      <c r="P87" s="96"/>
      <c r="Q87" s="118"/>
      <c r="R87" s="118"/>
      <c r="S87" s="118"/>
      <c r="T87" s="69">
        <f t="shared" si="8"/>
        <v>0</v>
      </c>
    </row>
    <row r="88" spans="1:20" ht="19.5" customHeight="1" x14ac:dyDescent="0.2">
      <c r="A88" s="76"/>
      <c r="B88" s="77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97"/>
      <c r="O88" s="97"/>
      <c r="P88" s="97"/>
      <c r="Q88" s="120"/>
      <c r="R88" s="124"/>
      <c r="S88" s="125"/>
      <c r="T88" s="127">
        <f>T83+T84+T85+T86+T87</f>
        <v>19</v>
      </c>
    </row>
    <row r="89" spans="1:20" ht="12" customHeight="1" x14ac:dyDescent="0.2">
      <c r="A89" s="243" t="s">
        <v>81</v>
      </c>
      <c r="B89" s="324" t="s">
        <v>100</v>
      </c>
      <c r="C89" s="324"/>
      <c r="D89" s="298" t="s">
        <v>230</v>
      </c>
      <c r="E89" s="298"/>
      <c r="F89" s="298"/>
      <c r="G89" s="298"/>
      <c r="H89" s="298"/>
      <c r="I89" s="298"/>
      <c r="J89" s="298"/>
      <c r="K89" s="298"/>
      <c r="L89" s="101">
        <v>5</v>
      </c>
      <c r="M89" s="101"/>
      <c r="N89" s="102"/>
      <c r="O89" s="102"/>
      <c r="P89" s="102"/>
      <c r="Q89" s="126"/>
      <c r="R89" s="126"/>
      <c r="S89" s="126"/>
      <c r="T89" s="128">
        <f>L89+M89+N89+O89+P89+Q89+R89+S89</f>
        <v>5</v>
      </c>
    </row>
    <row r="90" spans="1:20" ht="12" customHeight="1" x14ac:dyDescent="0.2">
      <c r="A90" s="223"/>
      <c r="B90" s="224"/>
      <c r="C90" s="224"/>
      <c r="D90" s="209" t="s">
        <v>231</v>
      </c>
      <c r="E90" s="209"/>
      <c r="F90" s="209"/>
      <c r="G90" s="209"/>
      <c r="H90" s="209"/>
      <c r="I90" s="209"/>
      <c r="J90" s="209"/>
      <c r="K90" s="209"/>
      <c r="L90" s="98"/>
      <c r="M90" s="98"/>
      <c r="N90" s="16"/>
      <c r="O90" s="16"/>
      <c r="P90" s="16"/>
      <c r="Q90" s="116"/>
      <c r="R90" s="116"/>
      <c r="S90" s="116"/>
      <c r="T90" s="128">
        <f t="shared" ref="T90:T92" si="9">L90+M90+N90+O90+P90+Q90+R90+S90</f>
        <v>0</v>
      </c>
    </row>
    <row r="91" spans="1:20" ht="12" customHeight="1" x14ac:dyDescent="0.2">
      <c r="A91" s="223"/>
      <c r="B91" s="224"/>
      <c r="C91" s="224"/>
      <c r="D91" s="209" t="s">
        <v>232</v>
      </c>
      <c r="E91" s="209"/>
      <c r="F91" s="209"/>
      <c r="G91" s="209"/>
      <c r="H91" s="209"/>
      <c r="I91" s="209"/>
      <c r="J91" s="209"/>
      <c r="K91" s="209"/>
      <c r="L91" s="98">
        <v>10</v>
      </c>
      <c r="M91" s="98"/>
      <c r="N91" s="16"/>
      <c r="O91" s="16"/>
      <c r="P91" s="16"/>
      <c r="Q91" s="116"/>
      <c r="R91" s="116"/>
      <c r="S91" s="116"/>
      <c r="T91" s="128">
        <f t="shared" si="9"/>
        <v>10</v>
      </c>
    </row>
    <row r="92" spans="1:20" ht="12" customHeight="1" x14ac:dyDescent="0.2">
      <c r="A92" s="244"/>
      <c r="B92" s="359"/>
      <c r="C92" s="359"/>
      <c r="D92" s="286" t="s">
        <v>233</v>
      </c>
      <c r="E92" s="286"/>
      <c r="F92" s="286"/>
      <c r="G92" s="286"/>
      <c r="H92" s="286"/>
      <c r="I92" s="286"/>
      <c r="J92" s="286"/>
      <c r="K92" s="286"/>
      <c r="L92" s="104"/>
      <c r="M92" s="104"/>
      <c r="N92" s="96"/>
      <c r="O92" s="96"/>
      <c r="P92" s="96"/>
      <c r="Q92" s="118"/>
      <c r="R92" s="118"/>
      <c r="S92" s="118"/>
      <c r="T92" s="128">
        <f t="shared" si="9"/>
        <v>0</v>
      </c>
    </row>
    <row r="93" spans="1:20" ht="12" customHeight="1" x14ac:dyDescent="0.2">
      <c r="A93" s="37"/>
      <c r="B93" s="80"/>
      <c r="C93" s="39"/>
      <c r="D93" s="81"/>
      <c r="E93" s="81"/>
      <c r="F93" s="81"/>
      <c r="G93" s="81"/>
      <c r="H93" s="81"/>
      <c r="I93" s="105"/>
      <c r="J93" s="105"/>
      <c r="K93" s="105"/>
      <c r="L93" s="81"/>
      <c r="M93" s="81"/>
      <c r="N93" s="97"/>
      <c r="O93" s="97"/>
      <c r="P93" s="97"/>
      <c r="Q93" s="75"/>
      <c r="R93" s="121"/>
      <c r="S93" s="124"/>
      <c r="T93" s="129">
        <f>T89+T90+T91+T92</f>
        <v>15</v>
      </c>
    </row>
    <row r="94" spans="1:20" ht="12.75" customHeight="1" x14ac:dyDescent="0.2">
      <c r="A94" s="296" t="s">
        <v>87</v>
      </c>
      <c r="B94" s="358" t="s">
        <v>101</v>
      </c>
      <c r="C94" s="358"/>
      <c r="D94" s="298" t="s">
        <v>234</v>
      </c>
      <c r="E94" s="298"/>
      <c r="F94" s="298"/>
      <c r="G94" s="298"/>
      <c r="H94" s="298"/>
      <c r="I94" s="298"/>
      <c r="J94" s="298"/>
      <c r="K94" s="298"/>
      <c r="L94" s="101">
        <v>30</v>
      </c>
      <c r="M94" s="101"/>
      <c r="N94" s="102"/>
      <c r="O94" s="102"/>
      <c r="P94" s="102"/>
      <c r="Q94" s="126"/>
      <c r="R94" s="126"/>
      <c r="S94" s="126"/>
      <c r="T94" s="128">
        <f>L94+M94+N94+O94+P94+Q94+R94+S94</f>
        <v>30</v>
      </c>
    </row>
    <row r="95" spans="1:20" ht="12.75" customHeight="1" x14ac:dyDescent="0.2">
      <c r="A95" s="297"/>
      <c r="B95" s="343"/>
      <c r="C95" s="343"/>
      <c r="D95" s="286"/>
      <c r="E95" s="286"/>
      <c r="F95" s="286"/>
      <c r="G95" s="286"/>
      <c r="H95" s="286"/>
      <c r="I95" s="286"/>
      <c r="J95" s="286"/>
      <c r="K95" s="286"/>
      <c r="L95" s="106"/>
      <c r="M95" s="106"/>
      <c r="N95" s="96"/>
      <c r="O95" s="96"/>
      <c r="P95" s="96"/>
      <c r="Q95" s="118"/>
      <c r="R95" s="118"/>
      <c r="S95" s="118"/>
      <c r="T95" s="130"/>
    </row>
    <row r="96" spans="1:20" ht="0.75" customHeight="1" x14ac:dyDescent="0.2">
      <c r="A96" s="82"/>
      <c r="B96" s="83"/>
      <c r="C96" s="8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97"/>
      <c r="O96" s="97"/>
      <c r="P96" s="97"/>
      <c r="Q96" s="75"/>
      <c r="R96" s="131"/>
      <c r="S96" s="131"/>
      <c r="T96" s="132">
        <f>T94+T95</f>
        <v>30</v>
      </c>
    </row>
    <row r="97" spans="1:20" ht="15.75" customHeight="1" x14ac:dyDescent="0.2">
      <c r="A97" s="85" t="s">
        <v>89</v>
      </c>
      <c r="B97" s="299" t="s">
        <v>102</v>
      </c>
      <c r="C97" s="300"/>
      <c r="D97" s="301" t="s">
        <v>235</v>
      </c>
      <c r="E97" s="301"/>
      <c r="F97" s="301"/>
      <c r="G97" s="301"/>
      <c r="H97" s="301"/>
      <c r="I97" s="301"/>
      <c r="J97" s="301"/>
      <c r="K97" s="301"/>
      <c r="L97" s="107"/>
      <c r="M97" s="107"/>
      <c r="N97" s="108"/>
      <c r="O97" s="108"/>
      <c r="P97" s="108"/>
      <c r="Q97" s="133"/>
      <c r="R97" s="133"/>
      <c r="S97" s="133"/>
      <c r="T97" s="134">
        <f>L97+M97+N97+O97+P97+Q97+R97+S97</f>
        <v>0</v>
      </c>
    </row>
    <row r="98" spans="1:20" ht="12.75" customHeight="1" x14ac:dyDescent="0.2">
      <c r="A98" s="302" t="s">
        <v>236</v>
      </c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89"/>
      <c r="T98" s="134">
        <f>T82+T88+T93+T94+T97</f>
        <v>84</v>
      </c>
    </row>
    <row r="99" spans="1:20" ht="24" customHeight="1" x14ac:dyDescent="0.2">
      <c r="A99" s="304" t="s">
        <v>237</v>
      </c>
      <c r="B99" s="305"/>
      <c r="C99" s="305"/>
      <c r="D99" s="305"/>
      <c r="E99" s="305"/>
      <c r="F99" s="306"/>
      <c r="G99" s="307" t="s">
        <v>184</v>
      </c>
      <c r="H99" s="216"/>
      <c r="I99" s="216"/>
      <c r="J99" s="216"/>
      <c r="K99" s="216"/>
      <c r="L99" s="216"/>
      <c r="M99" s="216"/>
      <c r="N99" s="216"/>
      <c r="O99" s="216"/>
      <c r="P99" s="50" t="s">
        <v>185</v>
      </c>
      <c r="Q99" s="50" t="s">
        <v>186</v>
      </c>
      <c r="R99" s="50" t="s">
        <v>187</v>
      </c>
      <c r="S99" s="50" t="s">
        <v>188</v>
      </c>
      <c r="T99" s="69" t="s">
        <v>165</v>
      </c>
    </row>
    <row r="100" spans="1:20" ht="12" customHeight="1" x14ac:dyDescent="0.2">
      <c r="A100" s="19" t="s">
        <v>238</v>
      </c>
      <c r="B100" s="308" t="s">
        <v>239</v>
      </c>
      <c r="C100" s="257"/>
      <c r="D100" s="257"/>
      <c r="E100" s="257"/>
      <c r="F100" s="257"/>
      <c r="G100" s="257" t="s">
        <v>240</v>
      </c>
      <c r="H100" s="257"/>
      <c r="I100" s="257"/>
      <c r="J100" s="257"/>
      <c r="K100" s="257"/>
      <c r="L100" s="257"/>
      <c r="M100" s="257"/>
      <c r="N100" s="257"/>
      <c r="O100" s="257"/>
      <c r="P100" s="16">
        <v>20</v>
      </c>
      <c r="Q100" s="116">
        <v>40</v>
      </c>
      <c r="R100" s="116"/>
      <c r="S100" s="116"/>
      <c r="T100" s="135">
        <f>P100+Q100+R100+S100</f>
        <v>60</v>
      </c>
    </row>
    <row r="101" spans="1:20" ht="9.75" customHeight="1" x14ac:dyDescent="0.2">
      <c r="A101" s="223" t="s">
        <v>241</v>
      </c>
      <c r="B101" s="262" t="s">
        <v>242</v>
      </c>
      <c r="C101" s="263"/>
      <c r="D101" s="263"/>
      <c r="E101" s="263"/>
      <c r="F101" s="263"/>
      <c r="G101" s="257" t="s">
        <v>243</v>
      </c>
      <c r="H101" s="257"/>
      <c r="I101" s="257"/>
      <c r="J101" s="257"/>
      <c r="K101" s="257"/>
      <c r="L101" s="257"/>
      <c r="M101" s="257"/>
      <c r="N101" s="257"/>
      <c r="O101" s="257"/>
      <c r="P101" s="16">
        <v>20</v>
      </c>
      <c r="Q101" s="116"/>
      <c r="R101" s="116"/>
      <c r="S101" s="116"/>
      <c r="T101" s="135">
        <f t="shared" ref="T101:T103" si="10">P101+Q101+R101+S101</f>
        <v>20</v>
      </c>
    </row>
    <row r="102" spans="1:20" ht="9.75" customHeight="1" x14ac:dyDescent="0.2">
      <c r="A102" s="223"/>
      <c r="B102" s="263"/>
      <c r="C102" s="263"/>
      <c r="D102" s="263"/>
      <c r="E102" s="263"/>
      <c r="F102" s="263"/>
      <c r="G102" s="257" t="s">
        <v>244</v>
      </c>
      <c r="H102" s="257"/>
      <c r="I102" s="257"/>
      <c r="J102" s="257"/>
      <c r="K102" s="257"/>
      <c r="L102" s="257"/>
      <c r="M102" s="257"/>
      <c r="N102" s="257"/>
      <c r="O102" s="257"/>
      <c r="P102" s="16"/>
      <c r="Q102" s="116"/>
      <c r="R102" s="116"/>
      <c r="S102" s="116"/>
      <c r="T102" s="135">
        <f t="shared" si="10"/>
        <v>0</v>
      </c>
    </row>
    <row r="103" spans="1:20" ht="9.75" customHeight="1" x14ac:dyDescent="0.2">
      <c r="A103" s="223"/>
      <c r="B103" s="263"/>
      <c r="C103" s="263"/>
      <c r="D103" s="263"/>
      <c r="E103" s="263"/>
      <c r="F103" s="263"/>
      <c r="G103" s="257" t="s">
        <v>245</v>
      </c>
      <c r="H103" s="257"/>
      <c r="I103" s="257"/>
      <c r="J103" s="257"/>
      <c r="K103" s="257"/>
      <c r="L103" s="257"/>
      <c r="M103" s="257"/>
      <c r="N103" s="257"/>
      <c r="O103" s="257"/>
      <c r="P103" s="16"/>
      <c r="Q103" s="116"/>
      <c r="R103" s="116"/>
      <c r="S103" s="116"/>
      <c r="T103" s="135">
        <f t="shared" si="10"/>
        <v>0</v>
      </c>
    </row>
    <row r="104" spans="1:20" ht="9" customHeight="1" x14ac:dyDescent="0.2">
      <c r="A104" s="19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23"/>
      <c r="M104" s="23"/>
      <c r="N104" s="23"/>
      <c r="O104" s="23"/>
      <c r="P104" s="16"/>
      <c r="Q104" s="116"/>
      <c r="R104" s="136"/>
      <c r="S104" s="136"/>
      <c r="T104" s="137">
        <f>T100+T101+T102+T103</f>
        <v>80</v>
      </c>
    </row>
    <row r="105" spans="1:20" ht="9.75" customHeight="1" x14ac:dyDescent="0.2">
      <c r="A105" s="223" t="s">
        <v>246</v>
      </c>
      <c r="B105" s="262" t="s">
        <v>247</v>
      </c>
      <c r="C105" s="263"/>
      <c r="D105" s="263"/>
      <c r="E105" s="263"/>
      <c r="F105" s="263"/>
      <c r="G105" s="238" t="s">
        <v>248</v>
      </c>
      <c r="H105" s="238"/>
      <c r="I105" s="238"/>
      <c r="J105" s="238"/>
      <c r="K105" s="238"/>
      <c r="L105" s="238"/>
      <c r="M105" s="238"/>
      <c r="N105" s="238"/>
      <c r="O105" s="238"/>
      <c r="P105" s="16"/>
      <c r="Q105" s="116"/>
      <c r="R105" s="116"/>
      <c r="S105" s="116"/>
      <c r="T105" s="135">
        <f>P105+Q105+R105+S105</f>
        <v>0</v>
      </c>
    </row>
    <row r="106" spans="1:20" ht="9.75" customHeight="1" x14ac:dyDescent="0.2">
      <c r="A106" s="223"/>
      <c r="B106" s="263"/>
      <c r="C106" s="263"/>
      <c r="D106" s="263"/>
      <c r="E106" s="263"/>
      <c r="F106" s="263"/>
      <c r="G106" s="238" t="s">
        <v>249</v>
      </c>
      <c r="H106" s="238"/>
      <c r="I106" s="238"/>
      <c r="J106" s="238"/>
      <c r="K106" s="238"/>
      <c r="L106" s="238"/>
      <c r="M106" s="238"/>
      <c r="N106" s="238"/>
      <c r="O106" s="238"/>
      <c r="P106" s="16"/>
      <c r="Q106" s="116"/>
      <c r="R106" s="116"/>
      <c r="S106" s="116"/>
      <c r="T106" s="135">
        <f t="shared" ref="T106:T112" si="11">P106+Q106+R106+S106</f>
        <v>0</v>
      </c>
    </row>
    <row r="107" spans="1:20" ht="9.75" customHeight="1" x14ac:dyDescent="0.2">
      <c r="A107" s="223"/>
      <c r="B107" s="263"/>
      <c r="C107" s="263"/>
      <c r="D107" s="263"/>
      <c r="E107" s="263"/>
      <c r="F107" s="263"/>
      <c r="G107" s="238" t="s">
        <v>250</v>
      </c>
      <c r="H107" s="238"/>
      <c r="I107" s="238"/>
      <c r="J107" s="238"/>
      <c r="K107" s="238"/>
      <c r="L107" s="238"/>
      <c r="M107" s="238"/>
      <c r="N107" s="238"/>
      <c r="O107" s="238"/>
      <c r="P107" s="16"/>
      <c r="Q107" s="116"/>
      <c r="R107" s="116"/>
      <c r="S107" s="116"/>
      <c r="T107" s="135">
        <f t="shared" si="11"/>
        <v>0</v>
      </c>
    </row>
    <row r="108" spans="1:20" ht="9.75" customHeight="1" x14ac:dyDescent="0.2">
      <c r="A108" s="223"/>
      <c r="B108" s="263"/>
      <c r="C108" s="263"/>
      <c r="D108" s="263"/>
      <c r="E108" s="263"/>
      <c r="F108" s="263"/>
      <c r="G108" s="238" t="s">
        <v>251</v>
      </c>
      <c r="H108" s="238"/>
      <c r="I108" s="238"/>
      <c r="J108" s="238"/>
      <c r="K108" s="238"/>
      <c r="L108" s="238"/>
      <c r="M108" s="238"/>
      <c r="N108" s="238"/>
      <c r="O108" s="238"/>
      <c r="P108" s="16"/>
      <c r="Q108" s="116"/>
      <c r="R108" s="116"/>
      <c r="S108" s="116"/>
      <c r="T108" s="135">
        <f t="shared" si="11"/>
        <v>0</v>
      </c>
    </row>
    <row r="109" spans="1:20" ht="9.75" customHeight="1" x14ac:dyDescent="0.2">
      <c r="A109" s="223"/>
      <c r="B109" s="263"/>
      <c r="C109" s="263"/>
      <c r="D109" s="263"/>
      <c r="E109" s="263"/>
      <c r="F109" s="263"/>
      <c r="G109" s="238" t="s">
        <v>252</v>
      </c>
      <c r="H109" s="238"/>
      <c r="I109" s="238"/>
      <c r="J109" s="238"/>
      <c r="K109" s="238"/>
      <c r="L109" s="238"/>
      <c r="M109" s="238"/>
      <c r="N109" s="238"/>
      <c r="O109" s="238"/>
      <c r="P109" s="16"/>
      <c r="Q109" s="116"/>
      <c r="R109" s="116"/>
      <c r="S109" s="116"/>
      <c r="T109" s="135">
        <f t="shared" si="11"/>
        <v>0</v>
      </c>
    </row>
    <row r="110" spans="1:20" ht="9.75" customHeight="1" x14ac:dyDescent="0.2">
      <c r="A110" s="223"/>
      <c r="B110" s="263"/>
      <c r="C110" s="263"/>
      <c r="D110" s="263"/>
      <c r="E110" s="263"/>
      <c r="F110" s="263"/>
      <c r="G110" s="257" t="s">
        <v>253</v>
      </c>
      <c r="H110" s="257"/>
      <c r="I110" s="257"/>
      <c r="J110" s="257"/>
      <c r="K110" s="257"/>
      <c r="L110" s="257"/>
      <c r="M110" s="257"/>
      <c r="N110" s="257"/>
      <c r="O110" s="257"/>
      <c r="P110" s="16"/>
      <c r="Q110" s="116"/>
      <c r="R110" s="116"/>
      <c r="S110" s="116"/>
      <c r="T110" s="135">
        <f t="shared" si="11"/>
        <v>0</v>
      </c>
    </row>
    <row r="111" spans="1:20" ht="9.75" customHeight="1" x14ac:dyDescent="0.2">
      <c r="A111" s="223"/>
      <c r="B111" s="263"/>
      <c r="C111" s="263"/>
      <c r="D111" s="263"/>
      <c r="E111" s="263"/>
      <c r="F111" s="263"/>
      <c r="G111" s="257" t="s">
        <v>254</v>
      </c>
      <c r="H111" s="257"/>
      <c r="I111" s="257"/>
      <c r="J111" s="257"/>
      <c r="K111" s="257"/>
      <c r="L111" s="257"/>
      <c r="M111" s="257"/>
      <c r="N111" s="257"/>
      <c r="O111" s="257"/>
      <c r="P111" s="16"/>
      <c r="Q111" s="116"/>
      <c r="R111" s="116"/>
      <c r="S111" s="116"/>
      <c r="T111" s="135">
        <f t="shared" si="11"/>
        <v>0</v>
      </c>
    </row>
    <row r="112" spans="1:20" ht="9.75" customHeight="1" x14ac:dyDescent="0.2">
      <c r="A112" s="223"/>
      <c r="B112" s="263"/>
      <c r="C112" s="263"/>
      <c r="D112" s="263"/>
      <c r="E112" s="263"/>
      <c r="F112" s="263"/>
      <c r="G112" s="257" t="s">
        <v>255</v>
      </c>
      <c r="H112" s="257"/>
      <c r="I112" s="257"/>
      <c r="J112" s="257"/>
      <c r="K112" s="257"/>
      <c r="L112" s="257"/>
      <c r="M112" s="257"/>
      <c r="N112" s="257"/>
      <c r="O112" s="257"/>
      <c r="P112" s="16"/>
      <c r="Q112" s="116"/>
      <c r="R112" s="116"/>
      <c r="S112" s="116"/>
      <c r="T112" s="135">
        <f t="shared" si="11"/>
        <v>0</v>
      </c>
    </row>
    <row r="113" spans="1:20" ht="12" customHeight="1" x14ac:dyDescent="0.2">
      <c r="A113" s="19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23"/>
      <c r="M113" s="23"/>
      <c r="N113" s="23"/>
      <c r="O113" s="23"/>
      <c r="P113" s="16"/>
      <c r="Q113" s="116"/>
      <c r="R113" s="136"/>
      <c r="S113" s="136"/>
      <c r="T113" s="138">
        <f>T105+T106+T107+T108+T109+T110+T111+T112</f>
        <v>0</v>
      </c>
    </row>
    <row r="114" spans="1:20" ht="15" customHeight="1" x14ac:dyDescent="0.2">
      <c r="A114" s="223" t="s">
        <v>256</v>
      </c>
      <c r="B114" s="332" t="s">
        <v>257</v>
      </c>
      <c r="C114" s="332"/>
      <c r="D114" s="332"/>
      <c r="E114" s="332"/>
      <c r="F114" s="332"/>
      <c r="G114" s="238" t="s">
        <v>258</v>
      </c>
      <c r="H114" s="238"/>
      <c r="I114" s="238"/>
      <c r="J114" s="238"/>
      <c r="K114" s="238"/>
      <c r="L114" s="238"/>
      <c r="M114" s="238"/>
      <c r="N114" s="238"/>
      <c r="O114" s="238"/>
      <c r="P114" s="16">
        <v>150</v>
      </c>
      <c r="Q114" s="116"/>
      <c r="R114" s="116"/>
      <c r="S114" s="116"/>
      <c r="T114" s="135">
        <f>P114+Q114+R114+S114</f>
        <v>150</v>
      </c>
    </row>
    <row r="115" spans="1:20" ht="15" customHeight="1" x14ac:dyDescent="0.2">
      <c r="A115" s="244"/>
      <c r="B115" s="332"/>
      <c r="C115" s="332"/>
      <c r="D115" s="332"/>
      <c r="E115" s="332"/>
      <c r="F115" s="332"/>
      <c r="G115" s="238" t="s">
        <v>259</v>
      </c>
      <c r="H115" s="238"/>
      <c r="I115" s="238"/>
      <c r="J115" s="238"/>
      <c r="K115" s="238"/>
      <c r="L115" s="238"/>
      <c r="M115" s="238"/>
      <c r="N115" s="238"/>
      <c r="O115" s="238"/>
      <c r="P115" s="16"/>
      <c r="Q115" s="116"/>
      <c r="R115" s="116"/>
      <c r="S115" s="116"/>
      <c r="T115" s="139">
        <f>P115+Q115+R115+S116</f>
        <v>0</v>
      </c>
    </row>
    <row r="116" spans="1:20" ht="12" customHeight="1" x14ac:dyDescent="0.2">
      <c r="A116" s="87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109"/>
      <c r="M116" s="109"/>
      <c r="N116" s="109"/>
      <c r="O116" s="109"/>
      <c r="P116" s="110"/>
      <c r="Q116" s="140"/>
      <c r="R116" s="141"/>
      <c r="S116" s="142"/>
      <c r="T116" s="143">
        <f>T114+T115</f>
        <v>150</v>
      </c>
    </row>
    <row r="117" spans="1:20" ht="22.5" customHeight="1" x14ac:dyDescent="0.2">
      <c r="A117" s="258" t="s">
        <v>260</v>
      </c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60"/>
      <c r="T117" s="144">
        <f>T104+T113+T116</f>
        <v>230</v>
      </c>
    </row>
    <row r="118" spans="1:20" ht="15.75" customHeight="1" x14ac:dyDescent="0.2">
      <c r="A118" s="333" t="s">
        <v>261</v>
      </c>
      <c r="B118" s="261"/>
      <c r="C118" s="261"/>
      <c r="D118" s="261" t="s">
        <v>14</v>
      </c>
      <c r="E118" s="261"/>
      <c r="F118" s="261"/>
      <c r="G118" s="261"/>
      <c r="H118" s="261"/>
      <c r="I118" s="261"/>
      <c r="J118" s="261"/>
      <c r="K118" s="261"/>
      <c r="L118" s="261" t="s">
        <v>185</v>
      </c>
      <c r="M118" s="261"/>
      <c r="N118" s="226" t="s">
        <v>186</v>
      </c>
      <c r="O118" s="226"/>
      <c r="P118" s="240" t="s">
        <v>187</v>
      </c>
      <c r="Q118" s="240"/>
      <c r="R118" s="240" t="s">
        <v>188</v>
      </c>
      <c r="S118" s="240"/>
      <c r="T118" s="316" t="s">
        <v>165</v>
      </c>
    </row>
    <row r="119" spans="1:20" ht="18.75" customHeight="1" x14ac:dyDescent="0.2">
      <c r="A119" s="334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99" t="s">
        <v>216</v>
      </c>
      <c r="M119" s="99" t="s">
        <v>217</v>
      </c>
      <c r="N119" s="99" t="s">
        <v>216</v>
      </c>
      <c r="O119" s="99" t="s">
        <v>217</v>
      </c>
      <c r="P119" s="99" t="s">
        <v>216</v>
      </c>
      <c r="Q119" s="99" t="s">
        <v>217</v>
      </c>
      <c r="R119" s="99" t="s">
        <v>216</v>
      </c>
      <c r="S119" s="99" t="s">
        <v>217</v>
      </c>
      <c r="T119" s="315"/>
    </row>
    <row r="120" spans="1:20" ht="40.5" customHeight="1" x14ac:dyDescent="0.2">
      <c r="A120" s="19" t="s">
        <v>238</v>
      </c>
      <c r="B120" s="270" t="s">
        <v>262</v>
      </c>
      <c r="C120" s="271"/>
      <c r="D120" s="272" t="s">
        <v>263</v>
      </c>
      <c r="E120" s="262"/>
      <c r="F120" s="262"/>
      <c r="G120" s="262"/>
      <c r="H120" s="262"/>
      <c r="I120" s="262"/>
      <c r="J120" s="262"/>
      <c r="K120" s="262"/>
      <c r="L120" s="111">
        <v>20</v>
      </c>
      <c r="M120" s="111"/>
      <c r="N120" s="111"/>
      <c r="O120" s="111"/>
      <c r="P120" s="111"/>
      <c r="Q120" s="116"/>
      <c r="R120" s="116"/>
      <c r="S120" s="116"/>
      <c r="T120" s="135">
        <f>L120+M120+N120+O120+P120+Q120+R120+S120</f>
        <v>20</v>
      </c>
    </row>
    <row r="121" spans="1:20" ht="15.75" customHeight="1" x14ac:dyDescent="0.2">
      <c r="A121" s="273" t="s">
        <v>264</v>
      </c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89"/>
      <c r="T121" s="135">
        <f>L120+M120+N120+O120+P120+Q120+R120+S120</f>
        <v>20</v>
      </c>
    </row>
    <row r="122" spans="1:20" ht="17.25" customHeight="1" x14ac:dyDescent="0.2">
      <c r="A122" s="90" t="s">
        <v>265</v>
      </c>
      <c r="B122" s="91"/>
      <c r="C122" s="92"/>
      <c r="D122" s="93"/>
      <c r="E122" s="275" t="s">
        <v>184</v>
      </c>
      <c r="F122" s="276"/>
      <c r="G122" s="276"/>
      <c r="H122" s="276"/>
      <c r="I122" s="276"/>
      <c r="J122" s="276"/>
      <c r="K122" s="276"/>
      <c r="L122" s="276"/>
      <c r="M122" s="276"/>
      <c r="N122" s="276"/>
      <c r="O122" s="277"/>
      <c r="P122" s="49" t="s">
        <v>185</v>
      </c>
      <c r="Q122" s="49" t="s">
        <v>186</v>
      </c>
      <c r="R122" s="49" t="s">
        <v>187</v>
      </c>
      <c r="S122" s="49" t="s">
        <v>188</v>
      </c>
      <c r="T122" s="68" t="s">
        <v>165</v>
      </c>
    </row>
    <row r="123" spans="1:20" ht="12.75" customHeight="1" x14ac:dyDescent="0.2">
      <c r="A123" s="282" t="s">
        <v>71</v>
      </c>
      <c r="B123" s="329" t="s">
        <v>266</v>
      </c>
      <c r="C123" s="330"/>
      <c r="D123" s="330"/>
      <c r="E123" s="278" t="s">
        <v>219</v>
      </c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112"/>
      <c r="Q123" s="145"/>
      <c r="R123" s="145"/>
      <c r="S123" s="145"/>
      <c r="T123" s="146"/>
    </row>
    <row r="124" spans="1:20" ht="12.75" customHeight="1" x14ac:dyDescent="0.2">
      <c r="A124" s="223"/>
      <c r="B124" s="331"/>
      <c r="C124" s="331"/>
      <c r="D124" s="331"/>
      <c r="E124" s="209" t="s">
        <v>267</v>
      </c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98"/>
      <c r="Q124" s="51"/>
      <c r="R124" s="51"/>
      <c r="S124" s="51"/>
      <c r="T124" s="74"/>
    </row>
    <row r="125" spans="1:20" ht="12.75" customHeight="1" x14ac:dyDescent="0.2">
      <c r="A125" s="223"/>
      <c r="B125" s="331"/>
      <c r="C125" s="331"/>
      <c r="D125" s="331"/>
      <c r="E125" s="209" t="s">
        <v>268</v>
      </c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98"/>
      <c r="Q125" s="51"/>
      <c r="R125" s="51"/>
      <c r="S125" s="51"/>
      <c r="T125" s="74"/>
    </row>
    <row r="126" spans="1:20" ht="21" customHeight="1" x14ac:dyDescent="0.2">
      <c r="A126" s="223"/>
      <c r="B126" s="331"/>
      <c r="C126" s="331"/>
      <c r="D126" s="331"/>
      <c r="E126" s="209" t="s">
        <v>269</v>
      </c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98"/>
      <c r="Q126" s="51"/>
      <c r="R126" s="51"/>
      <c r="S126" s="51"/>
      <c r="T126" s="74"/>
    </row>
    <row r="127" spans="1:20" ht="17.25" customHeight="1" x14ac:dyDescent="0.2">
      <c r="A127" s="76"/>
      <c r="B127" s="94"/>
      <c r="C127" s="94"/>
      <c r="D127" s="94"/>
      <c r="E127" s="81"/>
      <c r="F127" s="81"/>
      <c r="G127" s="81"/>
      <c r="H127" s="81"/>
      <c r="I127" s="81"/>
      <c r="J127" s="81"/>
      <c r="K127" s="81"/>
      <c r="L127" s="113"/>
      <c r="M127" s="113"/>
      <c r="N127" s="113"/>
      <c r="O127" s="113"/>
      <c r="P127" s="97">
        <f>P123+P124+P125+P126</f>
        <v>0</v>
      </c>
      <c r="Q127" s="97">
        <f>Q123+Q124+Q125+Q126</f>
        <v>0</v>
      </c>
      <c r="R127" s="97">
        <f>R123+R124+R125+R126</f>
        <v>0</v>
      </c>
      <c r="S127" s="97">
        <f>S123+S124+S125+S126</f>
        <v>0</v>
      </c>
      <c r="T127" s="147">
        <f>P127+Q127+R127+S127</f>
        <v>0</v>
      </c>
    </row>
    <row r="128" spans="1:20" ht="27.75" customHeight="1" x14ac:dyDescent="0.2">
      <c r="A128" s="95"/>
      <c r="B128" s="279" t="s">
        <v>270</v>
      </c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1"/>
      <c r="Q128" s="281"/>
      <c r="R128" s="281"/>
      <c r="S128" s="148"/>
      <c r="T128" s="147">
        <f>P127:T127</f>
        <v>0</v>
      </c>
    </row>
    <row r="129" spans="1:20" ht="51.75" customHeight="1" x14ac:dyDescent="0.2">
      <c r="A129" s="283" t="s">
        <v>271</v>
      </c>
      <c r="B129" s="284"/>
      <c r="C129" s="284"/>
      <c r="D129" s="284"/>
      <c r="E129" s="264" t="s">
        <v>272</v>
      </c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151">
        <v>50</v>
      </c>
      <c r="Q129" s="151"/>
      <c r="R129" s="151"/>
      <c r="S129" s="151"/>
      <c r="T129" s="154">
        <f>P129+Q129+R129+S129</f>
        <v>50</v>
      </c>
    </row>
    <row r="130" spans="1:20" ht="22.5" customHeight="1" x14ac:dyDescent="0.2">
      <c r="A130" s="265" t="s">
        <v>273</v>
      </c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155">
        <f>T74+T98+T117+T121+T128</f>
        <v>464</v>
      </c>
    </row>
    <row r="131" spans="1:20" ht="23.25" customHeight="1" x14ac:dyDescent="0.2">
      <c r="A131" s="267" t="s">
        <v>274</v>
      </c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3"/>
      <c r="T131" s="156"/>
    </row>
    <row r="132" spans="1:20" ht="32.25" customHeight="1" x14ac:dyDescent="0.2">
      <c r="A132" s="327" t="s">
        <v>275</v>
      </c>
      <c r="B132" s="220"/>
      <c r="C132" s="220"/>
      <c r="D132" s="220" t="s">
        <v>184</v>
      </c>
      <c r="E132" s="220"/>
      <c r="F132" s="220"/>
      <c r="G132" s="220"/>
      <c r="H132" s="220"/>
      <c r="I132" s="220"/>
      <c r="J132" s="220"/>
      <c r="K132" s="220"/>
      <c r="L132" s="220" t="s">
        <v>185</v>
      </c>
      <c r="M132" s="220"/>
      <c r="N132" s="226" t="s">
        <v>186</v>
      </c>
      <c r="O132" s="226"/>
      <c r="P132" s="240" t="s">
        <v>187</v>
      </c>
      <c r="Q132" s="240"/>
      <c r="R132" s="240" t="s">
        <v>188</v>
      </c>
      <c r="S132" s="240"/>
      <c r="T132" s="316" t="s">
        <v>165</v>
      </c>
    </row>
    <row r="133" spans="1:20" ht="23.25" customHeight="1" x14ac:dyDescent="0.2">
      <c r="A133" s="328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152" t="s">
        <v>216</v>
      </c>
      <c r="M133" s="152" t="s">
        <v>217</v>
      </c>
      <c r="N133" s="152" t="s">
        <v>216</v>
      </c>
      <c r="O133" s="152" t="s">
        <v>217</v>
      </c>
      <c r="P133" s="152" t="s">
        <v>216</v>
      </c>
      <c r="Q133" s="152" t="s">
        <v>217</v>
      </c>
      <c r="R133" s="152" t="s">
        <v>216</v>
      </c>
      <c r="S133" s="152" t="s">
        <v>217</v>
      </c>
      <c r="T133" s="317"/>
    </row>
    <row r="134" spans="1:20" ht="18.75" customHeight="1" x14ac:dyDescent="0.2">
      <c r="A134" s="243" t="s">
        <v>276</v>
      </c>
      <c r="B134" s="324" t="s">
        <v>277</v>
      </c>
      <c r="C134" s="325"/>
      <c r="D134" s="269" t="s">
        <v>240</v>
      </c>
      <c r="E134" s="269"/>
      <c r="F134" s="269"/>
      <c r="G134" s="269"/>
      <c r="H134" s="269"/>
      <c r="I134" s="269"/>
      <c r="J134" s="269"/>
      <c r="K134" s="269"/>
      <c r="L134" s="102"/>
      <c r="M134" s="102"/>
      <c r="N134" s="102"/>
      <c r="O134" s="102"/>
      <c r="P134" s="102"/>
      <c r="Q134" s="126"/>
      <c r="R134" s="126"/>
      <c r="S134" s="126"/>
      <c r="T134" s="128">
        <f>L134+M134+N134+O134+P134+Q134+R134+S134</f>
        <v>0</v>
      </c>
    </row>
    <row r="135" spans="1:20" ht="18.75" customHeight="1" x14ac:dyDescent="0.2">
      <c r="A135" s="244"/>
      <c r="B135" s="326"/>
      <c r="C135" s="326"/>
      <c r="D135" s="286" t="s">
        <v>278</v>
      </c>
      <c r="E135" s="286"/>
      <c r="F135" s="286"/>
      <c r="G135" s="286"/>
      <c r="H135" s="286"/>
      <c r="I135" s="286"/>
      <c r="J135" s="286"/>
      <c r="K135" s="286"/>
      <c r="L135" s="104"/>
      <c r="M135" s="104"/>
      <c r="N135" s="96"/>
      <c r="O135" s="96"/>
      <c r="P135" s="96"/>
      <c r="Q135" s="118"/>
      <c r="R135" s="118"/>
      <c r="S135" s="118"/>
      <c r="T135" s="128">
        <f>L135+M135+N135+O135+P135+Q135+R135+S135</f>
        <v>0</v>
      </c>
    </row>
    <row r="136" spans="1:20" ht="4.5" customHeight="1" x14ac:dyDescent="0.2">
      <c r="A136" s="76"/>
      <c r="B136" s="94"/>
      <c r="C136" s="94"/>
      <c r="D136" s="81"/>
      <c r="E136" s="81"/>
      <c r="F136" s="81"/>
      <c r="G136" s="81"/>
      <c r="H136" s="81"/>
      <c r="I136" s="81"/>
      <c r="J136" s="81"/>
      <c r="K136" s="81"/>
      <c r="L136" s="153"/>
      <c r="M136" s="153"/>
      <c r="N136" s="97"/>
      <c r="O136" s="97"/>
      <c r="P136" s="97"/>
      <c r="Q136" s="120"/>
      <c r="R136" s="120"/>
      <c r="S136" s="120"/>
      <c r="T136" s="157">
        <f>T134+T135</f>
        <v>0</v>
      </c>
    </row>
    <row r="137" spans="1:20" ht="4.5" customHeight="1" x14ac:dyDescent="0.2">
      <c r="A137" s="87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110"/>
      <c r="M137" s="110"/>
      <c r="N137" s="110"/>
      <c r="O137" s="110"/>
      <c r="P137" s="110"/>
      <c r="Q137" s="140"/>
      <c r="R137" s="140"/>
      <c r="S137" s="140"/>
      <c r="T137" s="158" t="e">
        <f>#REF!+#REF!+#REF!</f>
        <v>#REF!</v>
      </c>
    </row>
    <row r="138" spans="1:20" ht="22.5" customHeight="1" x14ac:dyDescent="0.2">
      <c r="A138" s="258" t="s">
        <v>279</v>
      </c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87"/>
      <c r="T138" s="159">
        <f>T136</f>
        <v>0</v>
      </c>
    </row>
    <row r="139" spans="1:20" ht="20.25" customHeight="1" x14ac:dyDescent="0.2">
      <c r="A139" s="288" t="s">
        <v>280</v>
      </c>
      <c r="B139" s="289"/>
      <c r="C139" s="289"/>
      <c r="D139" s="289"/>
      <c r="E139" s="289"/>
      <c r="F139" s="289"/>
      <c r="G139" s="289" t="s">
        <v>184</v>
      </c>
      <c r="H139" s="289"/>
      <c r="I139" s="289"/>
      <c r="J139" s="289"/>
      <c r="K139" s="289"/>
      <c r="L139" s="289"/>
      <c r="M139" s="289"/>
      <c r="N139" s="289"/>
      <c r="O139" s="289"/>
      <c r="P139" s="50" t="s">
        <v>185</v>
      </c>
      <c r="Q139" s="50" t="s">
        <v>186</v>
      </c>
      <c r="R139" s="50" t="s">
        <v>187</v>
      </c>
      <c r="S139" s="50" t="s">
        <v>188</v>
      </c>
      <c r="T139" s="69" t="s">
        <v>165</v>
      </c>
    </row>
    <row r="140" spans="1:20" x14ac:dyDescent="0.2">
      <c r="A140" s="19" t="s">
        <v>276</v>
      </c>
      <c r="B140" s="290" t="s">
        <v>126</v>
      </c>
      <c r="C140" s="290"/>
      <c r="D140" s="290"/>
      <c r="E140" s="290"/>
      <c r="F140" s="290"/>
      <c r="G140" s="257" t="s">
        <v>281</v>
      </c>
      <c r="H140" s="257"/>
      <c r="I140" s="257"/>
      <c r="J140" s="257"/>
      <c r="K140" s="257"/>
      <c r="L140" s="257"/>
      <c r="M140" s="257"/>
      <c r="N140" s="257"/>
      <c r="O140" s="257"/>
      <c r="P140" s="16"/>
      <c r="Q140" s="116"/>
      <c r="R140" s="116"/>
      <c r="S140" s="116"/>
      <c r="T140" s="128">
        <f>P140+Q140+R140+S140</f>
        <v>0</v>
      </c>
    </row>
    <row r="141" spans="1:20" ht="25.5" customHeight="1" x14ac:dyDescent="0.2">
      <c r="A141" s="19" t="s">
        <v>282</v>
      </c>
      <c r="B141" s="291" t="s">
        <v>129</v>
      </c>
      <c r="C141" s="291"/>
      <c r="D141" s="291"/>
      <c r="E141" s="291"/>
      <c r="F141" s="291"/>
      <c r="G141" s="209" t="s">
        <v>281</v>
      </c>
      <c r="H141" s="209"/>
      <c r="I141" s="209"/>
      <c r="J141" s="209"/>
      <c r="K141" s="209"/>
      <c r="L141" s="209"/>
      <c r="M141" s="209"/>
      <c r="N141" s="209"/>
      <c r="O141" s="209"/>
      <c r="P141" s="16"/>
      <c r="Q141" s="116"/>
      <c r="R141" s="116"/>
      <c r="S141" s="116"/>
      <c r="T141" s="160">
        <f>P141+Q141+R141+S141</f>
        <v>0</v>
      </c>
    </row>
    <row r="142" spans="1:20" ht="25.5" customHeight="1" x14ac:dyDescent="0.2">
      <c r="A142" s="19" t="s">
        <v>283</v>
      </c>
      <c r="B142" s="224" t="s">
        <v>131</v>
      </c>
      <c r="C142" s="224"/>
      <c r="D142" s="224"/>
      <c r="E142" s="224"/>
      <c r="F142" s="224"/>
      <c r="G142" s="209" t="s">
        <v>281</v>
      </c>
      <c r="H142" s="209"/>
      <c r="I142" s="209"/>
      <c r="J142" s="209"/>
      <c r="K142" s="209"/>
      <c r="L142" s="209"/>
      <c r="M142" s="209"/>
      <c r="N142" s="209"/>
      <c r="O142" s="209"/>
      <c r="P142" s="16"/>
      <c r="Q142" s="116"/>
      <c r="R142" s="116"/>
      <c r="S142" s="116"/>
      <c r="T142" s="160">
        <f>P142+Q142+R142+S142</f>
        <v>0</v>
      </c>
    </row>
    <row r="143" spans="1:20" ht="25.5" customHeight="1" x14ac:dyDescent="0.2">
      <c r="A143" s="19" t="s">
        <v>284</v>
      </c>
      <c r="B143" s="224" t="s">
        <v>133</v>
      </c>
      <c r="C143" s="224"/>
      <c r="D143" s="224"/>
      <c r="E143" s="224"/>
      <c r="F143" s="224"/>
      <c r="G143" s="209" t="s">
        <v>281</v>
      </c>
      <c r="H143" s="209"/>
      <c r="I143" s="209"/>
      <c r="J143" s="209"/>
      <c r="K143" s="209"/>
      <c r="L143" s="209"/>
      <c r="M143" s="209"/>
      <c r="N143" s="209"/>
      <c r="O143" s="209"/>
      <c r="P143" s="16"/>
      <c r="Q143" s="116"/>
      <c r="R143" s="116"/>
      <c r="S143" s="116"/>
      <c r="T143" s="160">
        <f t="shared" ref="T143:T148" si="12">P143+Q143+R143+S143</f>
        <v>0</v>
      </c>
    </row>
    <row r="144" spans="1:20" ht="25.5" customHeight="1" x14ac:dyDescent="0.2">
      <c r="A144" s="19" t="s">
        <v>285</v>
      </c>
      <c r="B144" s="291" t="s">
        <v>135</v>
      </c>
      <c r="C144" s="291"/>
      <c r="D144" s="291"/>
      <c r="E144" s="291"/>
      <c r="F144" s="291"/>
      <c r="G144" s="209" t="s">
        <v>281</v>
      </c>
      <c r="H144" s="209"/>
      <c r="I144" s="209"/>
      <c r="J144" s="209"/>
      <c r="K144" s="209"/>
      <c r="L144" s="209"/>
      <c r="M144" s="209"/>
      <c r="N144" s="209"/>
      <c r="O144" s="209"/>
      <c r="P144" s="16"/>
      <c r="Q144" s="116"/>
      <c r="R144" s="116"/>
      <c r="S144" s="116"/>
      <c r="T144" s="160">
        <f t="shared" si="12"/>
        <v>0</v>
      </c>
    </row>
    <row r="145" spans="1:20" ht="15" customHeight="1" x14ac:dyDescent="0.2">
      <c r="A145" s="223" t="s">
        <v>286</v>
      </c>
      <c r="B145" s="224" t="s">
        <v>287</v>
      </c>
      <c r="C145" s="224"/>
      <c r="D145" s="224"/>
      <c r="E145" s="224"/>
      <c r="F145" s="224"/>
      <c r="G145" s="257" t="s">
        <v>288</v>
      </c>
      <c r="H145" s="257"/>
      <c r="I145" s="257"/>
      <c r="J145" s="257"/>
      <c r="K145" s="257"/>
      <c r="L145" s="257"/>
      <c r="M145" s="257"/>
      <c r="N145" s="257"/>
      <c r="O145" s="257"/>
      <c r="P145" s="16"/>
      <c r="Q145" s="116"/>
      <c r="R145" s="116"/>
      <c r="S145" s="116"/>
      <c r="T145" s="160">
        <f t="shared" si="12"/>
        <v>0</v>
      </c>
    </row>
    <row r="146" spans="1:20" ht="15" customHeight="1" x14ac:dyDescent="0.2">
      <c r="A146" s="223"/>
      <c r="B146" s="224"/>
      <c r="C146" s="224"/>
      <c r="D146" s="224"/>
      <c r="E146" s="224"/>
      <c r="F146" s="224"/>
      <c r="G146" s="257" t="s">
        <v>289</v>
      </c>
      <c r="H146" s="257"/>
      <c r="I146" s="257"/>
      <c r="J146" s="257"/>
      <c r="K146" s="257"/>
      <c r="L146" s="257"/>
      <c r="M146" s="257"/>
      <c r="N146" s="257"/>
      <c r="O146" s="257"/>
      <c r="P146" s="16"/>
      <c r="Q146" s="116"/>
      <c r="R146" s="116"/>
      <c r="S146" s="116"/>
      <c r="T146" s="160">
        <f t="shared" si="12"/>
        <v>0</v>
      </c>
    </row>
    <row r="147" spans="1:20" ht="15" customHeight="1" x14ac:dyDescent="0.2">
      <c r="A147" s="223"/>
      <c r="B147" s="224"/>
      <c r="C147" s="224"/>
      <c r="D147" s="224"/>
      <c r="E147" s="224"/>
      <c r="F147" s="224"/>
      <c r="G147" s="257" t="s">
        <v>290</v>
      </c>
      <c r="H147" s="257"/>
      <c r="I147" s="257"/>
      <c r="J147" s="257"/>
      <c r="K147" s="257"/>
      <c r="L147" s="257"/>
      <c r="M147" s="257"/>
      <c r="N147" s="257"/>
      <c r="O147" s="257"/>
      <c r="P147" s="16"/>
      <c r="Q147" s="116"/>
      <c r="R147" s="116"/>
      <c r="S147" s="116"/>
      <c r="T147" s="160">
        <f t="shared" si="12"/>
        <v>0</v>
      </c>
    </row>
    <row r="148" spans="1:20" ht="15" customHeight="1" x14ac:dyDescent="0.2">
      <c r="A148" s="223"/>
      <c r="B148" s="224"/>
      <c r="C148" s="224"/>
      <c r="D148" s="224"/>
      <c r="E148" s="224"/>
      <c r="F148" s="224"/>
      <c r="G148" s="257" t="s">
        <v>291</v>
      </c>
      <c r="H148" s="257"/>
      <c r="I148" s="257"/>
      <c r="J148" s="257"/>
      <c r="K148" s="257"/>
      <c r="L148" s="257"/>
      <c r="M148" s="257"/>
      <c r="N148" s="257"/>
      <c r="O148" s="257"/>
      <c r="P148" s="16"/>
      <c r="Q148" s="116"/>
      <c r="R148" s="116"/>
      <c r="S148" s="116"/>
      <c r="T148" s="160">
        <f t="shared" si="12"/>
        <v>0</v>
      </c>
    </row>
    <row r="149" spans="1:20" ht="10.5" customHeight="1" x14ac:dyDescent="0.2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3"/>
      <c r="M149" s="23"/>
      <c r="N149" s="23"/>
      <c r="O149" s="23"/>
      <c r="P149" s="16"/>
      <c r="Q149" s="116"/>
      <c r="R149" s="116"/>
      <c r="S149" s="116"/>
      <c r="T149" s="160"/>
    </row>
    <row r="150" spans="1:20" ht="21.75" customHeight="1" x14ac:dyDescent="0.2">
      <c r="A150" s="149" t="s">
        <v>292</v>
      </c>
      <c r="B150" s="285" t="s">
        <v>143</v>
      </c>
      <c r="C150" s="285"/>
      <c r="D150" s="285"/>
      <c r="E150" s="285"/>
      <c r="F150" s="285"/>
      <c r="G150" s="286" t="s">
        <v>281</v>
      </c>
      <c r="H150" s="286"/>
      <c r="I150" s="286"/>
      <c r="J150" s="286"/>
      <c r="K150" s="286"/>
      <c r="L150" s="286"/>
      <c r="M150" s="286"/>
      <c r="N150" s="286"/>
      <c r="O150" s="286"/>
      <c r="P150" s="96"/>
      <c r="Q150" s="118"/>
      <c r="R150" s="118"/>
      <c r="S150" s="118"/>
      <c r="T150" s="161">
        <f>P150+Q150+R150+S150</f>
        <v>0</v>
      </c>
    </row>
    <row r="151" spans="1:20" ht="21" customHeight="1" x14ac:dyDescent="0.2">
      <c r="A151" s="335" t="s">
        <v>293</v>
      </c>
      <c r="B151" s="336"/>
      <c r="C151" s="336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150"/>
      <c r="T151" s="162">
        <f>T140+T141+T142+T143+T144+T145+T146+T147+T148+T150</f>
        <v>0</v>
      </c>
    </row>
    <row r="152" spans="1:20" x14ac:dyDescent="0.2">
      <c r="A152" s="337" t="s">
        <v>294</v>
      </c>
      <c r="B152" s="338"/>
      <c r="C152" s="338"/>
      <c r="D152" s="338"/>
      <c r="E152" s="338"/>
      <c r="F152" s="338"/>
      <c r="G152" s="339" t="s">
        <v>184</v>
      </c>
      <c r="H152" s="339"/>
      <c r="I152" s="339"/>
      <c r="J152" s="339"/>
      <c r="K152" s="339"/>
      <c r="L152" s="339"/>
      <c r="M152" s="339"/>
      <c r="N152" s="339"/>
      <c r="O152" s="339"/>
      <c r="P152" s="49" t="s">
        <v>185</v>
      </c>
      <c r="Q152" s="49" t="s">
        <v>186</v>
      </c>
      <c r="R152" s="49" t="s">
        <v>187</v>
      </c>
      <c r="S152" s="49" t="s">
        <v>188</v>
      </c>
      <c r="T152" s="163" t="s">
        <v>171</v>
      </c>
    </row>
    <row r="153" spans="1:20" ht="15.75" customHeight="1" x14ac:dyDescent="0.2">
      <c r="A153" s="25" t="s">
        <v>276</v>
      </c>
      <c r="B153" s="340" t="s">
        <v>145</v>
      </c>
      <c r="C153" s="341"/>
      <c r="D153" s="341"/>
      <c r="E153" s="341"/>
      <c r="F153" s="342"/>
      <c r="G153" s="269" t="s">
        <v>295</v>
      </c>
      <c r="H153" s="269"/>
      <c r="I153" s="269"/>
      <c r="J153" s="269"/>
      <c r="K153" s="269"/>
      <c r="L153" s="269"/>
      <c r="M153" s="269"/>
      <c r="N153" s="269"/>
      <c r="O153" s="269"/>
      <c r="P153" s="102"/>
      <c r="Q153" s="126"/>
      <c r="R153" s="126"/>
      <c r="S153" s="126"/>
      <c r="T153" s="128">
        <f>P153+Q153+R153+S153</f>
        <v>0</v>
      </c>
    </row>
    <row r="154" spans="1:20" ht="19.5" customHeight="1" x14ac:dyDescent="0.2">
      <c r="A154" s="28" t="s">
        <v>282</v>
      </c>
      <c r="B154" s="343" t="s">
        <v>148</v>
      </c>
      <c r="C154" s="343"/>
      <c r="D154" s="343"/>
      <c r="E154" s="343"/>
      <c r="F154" s="343"/>
      <c r="G154" s="344" t="s">
        <v>296</v>
      </c>
      <c r="H154" s="344"/>
      <c r="I154" s="344"/>
      <c r="J154" s="344"/>
      <c r="K154" s="344"/>
      <c r="L154" s="344"/>
      <c r="M154" s="344"/>
      <c r="N154" s="344"/>
      <c r="O154" s="344"/>
      <c r="P154" s="96"/>
      <c r="Q154" s="118"/>
      <c r="R154" s="118"/>
      <c r="S154" s="118"/>
      <c r="T154" s="130">
        <f t="shared" ref="T154" si="13">P154+Q154+R154+S154</f>
        <v>0</v>
      </c>
    </row>
    <row r="155" spans="1:20" ht="15.75" customHeight="1" x14ac:dyDescent="0.2">
      <c r="A155" s="345" t="s">
        <v>297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162">
        <f>T153+T154</f>
        <v>0</v>
      </c>
    </row>
    <row r="156" spans="1:20" ht="15.75" customHeight="1" x14ac:dyDescent="0.2">
      <c r="A156" s="347" t="s">
        <v>298</v>
      </c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135">
        <f>T138+T151++T155</f>
        <v>0</v>
      </c>
    </row>
    <row r="157" spans="1:20" ht="15.75" customHeight="1" x14ac:dyDescent="0.2">
      <c r="A157" s="318" t="s">
        <v>152</v>
      </c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8">
        <f>T35+T130+T156</f>
        <v>586</v>
      </c>
      <c r="T157" s="322"/>
    </row>
    <row r="158" spans="1:20" ht="21.75" customHeight="1" x14ac:dyDescent="0.2">
      <c r="A158" s="320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0"/>
      <c r="T158" s="323"/>
    </row>
  </sheetData>
  <mergeCells count="263">
    <mergeCell ref="B94:C95"/>
    <mergeCell ref="D94:K95"/>
    <mergeCell ref="B89:C92"/>
    <mergeCell ref="B83:C87"/>
    <mergeCell ref="B77:C81"/>
    <mergeCell ref="A75:C76"/>
    <mergeCell ref="D75:K76"/>
    <mergeCell ref="B69:I72"/>
    <mergeCell ref="B25:B26"/>
    <mergeCell ref="B27:B28"/>
    <mergeCell ref="B29:B30"/>
    <mergeCell ref="B31:B33"/>
    <mergeCell ref="J51:O51"/>
    <mergeCell ref="J52:O52"/>
    <mergeCell ref="J53:O53"/>
    <mergeCell ref="J54:O54"/>
    <mergeCell ref="A83:A87"/>
    <mergeCell ref="A89:A92"/>
    <mergeCell ref="T132:T133"/>
    <mergeCell ref="A157:R158"/>
    <mergeCell ref="S157:T158"/>
    <mergeCell ref="B145:F148"/>
    <mergeCell ref="B134:C135"/>
    <mergeCell ref="A132:C133"/>
    <mergeCell ref="D132:K133"/>
    <mergeCell ref="B123:D126"/>
    <mergeCell ref="B114:F115"/>
    <mergeCell ref="A118:C119"/>
    <mergeCell ref="D118:K119"/>
    <mergeCell ref="A151:R151"/>
    <mergeCell ref="A152:F152"/>
    <mergeCell ref="G152:O152"/>
    <mergeCell ref="B153:F153"/>
    <mergeCell ref="G153:O153"/>
    <mergeCell ref="B154:F154"/>
    <mergeCell ref="G154:O154"/>
    <mergeCell ref="A155:S155"/>
    <mergeCell ref="A156:S156"/>
    <mergeCell ref="B143:F143"/>
    <mergeCell ref="G143:O143"/>
    <mergeCell ref="B144:F144"/>
    <mergeCell ref="G144:O144"/>
    <mergeCell ref="T17:T18"/>
    <mergeCell ref="T19:T21"/>
    <mergeCell ref="T23:T24"/>
    <mergeCell ref="T25:T26"/>
    <mergeCell ref="T27:T28"/>
    <mergeCell ref="T29:T30"/>
    <mergeCell ref="T31:T33"/>
    <mergeCell ref="T75:T76"/>
    <mergeCell ref="T118:T119"/>
    <mergeCell ref="A94:A95"/>
    <mergeCell ref="A101:A103"/>
    <mergeCell ref="G101:O101"/>
    <mergeCell ref="G102:O102"/>
    <mergeCell ref="G103:O103"/>
    <mergeCell ref="D80:K80"/>
    <mergeCell ref="D81:K81"/>
    <mergeCell ref="D83:K83"/>
    <mergeCell ref="D84:K84"/>
    <mergeCell ref="D85:K85"/>
    <mergeCell ref="D86:K86"/>
    <mergeCell ref="D87:K87"/>
    <mergeCell ref="D89:K89"/>
    <mergeCell ref="D90:K90"/>
    <mergeCell ref="D91:K91"/>
    <mergeCell ref="D92:K92"/>
    <mergeCell ref="B97:C97"/>
    <mergeCell ref="D97:K97"/>
    <mergeCell ref="A98:R98"/>
    <mergeCell ref="A99:F99"/>
    <mergeCell ref="G99:O99"/>
    <mergeCell ref="B100:F100"/>
    <mergeCell ref="G100:O100"/>
    <mergeCell ref="B101:F103"/>
    <mergeCell ref="A25:A26"/>
    <mergeCell ref="A27:A28"/>
    <mergeCell ref="A29:A30"/>
    <mergeCell ref="A31:A33"/>
    <mergeCell ref="A38:A43"/>
    <mergeCell ref="A45:A49"/>
    <mergeCell ref="A51:A55"/>
    <mergeCell ref="A57:A61"/>
    <mergeCell ref="A63:A67"/>
    <mergeCell ref="G145:O145"/>
    <mergeCell ref="G146:O146"/>
    <mergeCell ref="G147:O147"/>
    <mergeCell ref="G148:O148"/>
    <mergeCell ref="B150:F150"/>
    <mergeCell ref="G150:O150"/>
    <mergeCell ref="D135:K135"/>
    <mergeCell ref="A138:S138"/>
    <mergeCell ref="A139:F139"/>
    <mergeCell ref="G139:O139"/>
    <mergeCell ref="B140:F140"/>
    <mergeCell ref="G140:O140"/>
    <mergeCell ref="B141:F141"/>
    <mergeCell ref="G141:O141"/>
    <mergeCell ref="B142:F142"/>
    <mergeCell ref="G142:O142"/>
    <mergeCell ref="A134:A135"/>
    <mergeCell ref="A145:A148"/>
    <mergeCell ref="E129:O129"/>
    <mergeCell ref="A130:S130"/>
    <mergeCell ref="A131:R131"/>
    <mergeCell ref="L132:M132"/>
    <mergeCell ref="N132:O132"/>
    <mergeCell ref="P132:Q132"/>
    <mergeCell ref="R132:S132"/>
    <mergeCell ref="D134:K134"/>
    <mergeCell ref="B120:C120"/>
    <mergeCell ref="D120:K120"/>
    <mergeCell ref="A121:R121"/>
    <mergeCell ref="E122:O122"/>
    <mergeCell ref="E123:O123"/>
    <mergeCell ref="E124:O124"/>
    <mergeCell ref="E125:O125"/>
    <mergeCell ref="E126:O126"/>
    <mergeCell ref="B128:R128"/>
    <mergeCell ref="A123:A126"/>
    <mergeCell ref="A129:D129"/>
    <mergeCell ref="G111:O111"/>
    <mergeCell ref="G112:O112"/>
    <mergeCell ref="G114:O114"/>
    <mergeCell ref="G115:O115"/>
    <mergeCell ref="A117:S117"/>
    <mergeCell ref="L118:M118"/>
    <mergeCell ref="N118:O118"/>
    <mergeCell ref="P118:Q118"/>
    <mergeCell ref="R118:S118"/>
    <mergeCell ref="B105:F112"/>
    <mergeCell ref="G105:O105"/>
    <mergeCell ref="G106:O106"/>
    <mergeCell ref="G107:O107"/>
    <mergeCell ref="G108:O108"/>
    <mergeCell ref="G109:O109"/>
    <mergeCell ref="G110:O110"/>
    <mergeCell ref="A105:A112"/>
    <mergeCell ref="A114:A115"/>
    <mergeCell ref="N75:O75"/>
    <mergeCell ref="P75:Q75"/>
    <mergeCell ref="R75:S75"/>
    <mergeCell ref="D77:K77"/>
    <mergeCell ref="D78:K78"/>
    <mergeCell ref="D79:K79"/>
    <mergeCell ref="A69:A72"/>
    <mergeCell ref="A77:A81"/>
    <mergeCell ref="J61:O61"/>
    <mergeCell ref="J63:O63"/>
    <mergeCell ref="J64:O64"/>
    <mergeCell ref="J65:O65"/>
    <mergeCell ref="J66:O66"/>
    <mergeCell ref="J67:O67"/>
    <mergeCell ref="J69:O69"/>
    <mergeCell ref="J70:O70"/>
    <mergeCell ref="J71:O71"/>
    <mergeCell ref="J72:O72"/>
    <mergeCell ref="A74:S74"/>
    <mergeCell ref="L75:M75"/>
    <mergeCell ref="B63:I67"/>
    <mergeCell ref="B57:I61"/>
    <mergeCell ref="J60:O60"/>
    <mergeCell ref="J40:O40"/>
    <mergeCell ref="J41:O41"/>
    <mergeCell ref="J42:O42"/>
    <mergeCell ref="J43:O43"/>
    <mergeCell ref="J45:O45"/>
    <mergeCell ref="J46:O46"/>
    <mergeCell ref="J47:O47"/>
    <mergeCell ref="J48:O48"/>
    <mergeCell ref="J49:O49"/>
    <mergeCell ref="A34:S34"/>
    <mergeCell ref="A35:S35"/>
    <mergeCell ref="J37:O37"/>
    <mergeCell ref="J38:O38"/>
    <mergeCell ref="J39:O39"/>
    <mergeCell ref="J55:O55"/>
    <mergeCell ref="J57:O57"/>
    <mergeCell ref="J58:O58"/>
    <mergeCell ref="J59:O59"/>
    <mergeCell ref="B51:I55"/>
    <mergeCell ref="B45:I49"/>
    <mergeCell ref="B38:I43"/>
    <mergeCell ref="D31:G31"/>
    <mergeCell ref="H31:K31"/>
    <mergeCell ref="L31:O31"/>
    <mergeCell ref="P31:S31"/>
    <mergeCell ref="D32:G32"/>
    <mergeCell ref="H32:K32"/>
    <mergeCell ref="L32:O32"/>
    <mergeCell ref="P32:S32"/>
    <mergeCell ref="D33:G33"/>
    <mergeCell ref="H33:K33"/>
    <mergeCell ref="L33:O33"/>
    <mergeCell ref="P33:S33"/>
    <mergeCell ref="D28:G28"/>
    <mergeCell ref="H28:K28"/>
    <mergeCell ref="L28:O28"/>
    <mergeCell ref="P28:S28"/>
    <mergeCell ref="D29:G29"/>
    <mergeCell ref="H29:K29"/>
    <mergeCell ref="L29:O29"/>
    <mergeCell ref="P29:S29"/>
    <mergeCell ref="D30:G30"/>
    <mergeCell ref="H30:K30"/>
    <mergeCell ref="L30:O30"/>
    <mergeCell ref="P30:S30"/>
    <mergeCell ref="D25:G25"/>
    <mergeCell ref="H25:K25"/>
    <mergeCell ref="L25:O25"/>
    <mergeCell ref="P25:S25"/>
    <mergeCell ref="D26:G26"/>
    <mergeCell ref="H26:K26"/>
    <mergeCell ref="L26:O26"/>
    <mergeCell ref="P26:S26"/>
    <mergeCell ref="D27:G27"/>
    <mergeCell ref="H27:K27"/>
    <mergeCell ref="L27:O27"/>
    <mergeCell ref="P27:S27"/>
    <mergeCell ref="D17:G17"/>
    <mergeCell ref="H17:K17"/>
    <mergeCell ref="L17:O17"/>
    <mergeCell ref="P17:S17"/>
    <mergeCell ref="A22:R22"/>
    <mergeCell ref="D23:G23"/>
    <mergeCell ref="H23:K23"/>
    <mergeCell ref="L23:O23"/>
    <mergeCell ref="P23:S23"/>
    <mergeCell ref="A19:A21"/>
    <mergeCell ref="B19:B21"/>
    <mergeCell ref="K19:K21"/>
    <mergeCell ref="O19:O21"/>
    <mergeCell ref="S19:S21"/>
    <mergeCell ref="C17:C18"/>
    <mergeCell ref="C23:C24"/>
    <mergeCell ref="G19:G21"/>
    <mergeCell ref="D24:G24"/>
    <mergeCell ref="H24:K24"/>
    <mergeCell ref="L24:O24"/>
    <mergeCell ref="P24:S24"/>
    <mergeCell ref="A23:B24"/>
    <mergeCell ref="A17:B18"/>
    <mergeCell ref="B1:T1"/>
    <mergeCell ref="A3:T3"/>
    <mergeCell ref="A4:T4"/>
    <mergeCell ref="B5:T5"/>
    <mergeCell ref="A9:T9"/>
    <mergeCell ref="D10:H10"/>
    <mergeCell ref="I10:M10"/>
    <mergeCell ref="O10:S10"/>
    <mergeCell ref="A16:R16"/>
    <mergeCell ref="A10:A11"/>
    <mergeCell ref="A12:A13"/>
    <mergeCell ref="A14:A15"/>
    <mergeCell ref="B10:B11"/>
    <mergeCell ref="B12:B13"/>
    <mergeCell ref="B14:B15"/>
    <mergeCell ref="N10:N11"/>
    <mergeCell ref="T10:T11"/>
    <mergeCell ref="T12:T13"/>
    <mergeCell ref="T14:T15"/>
    <mergeCell ref="C10:C11"/>
    <mergeCell ref="C12:C15"/>
  </mergeCells>
  <pageMargins left="0.7" right="0.7" top="0.75" bottom="0.75" header="0.3" footer="0.3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58"/>
  <sheetViews>
    <sheetView topLeftCell="A13" workbookViewId="0">
      <selection activeCell="W164" sqref="W164"/>
    </sheetView>
  </sheetViews>
  <sheetFormatPr defaultColWidth="9.140625" defaultRowHeight="11.25" x14ac:dyDescent="0.2"/>
  <cols>
    <col min="1" max="1" width="5" style="1" customWidth="1"/>
    <col min="2" max="2" width="25.7109375" style="2" customWidth="1"/>
    <col min="3" max="3" width="11.140625" style="2" customWidth="1"/>
    <col min="4" max="11" width="3.42578125" style="2" customWidth="1"/>
    <col min="12" max="19" width="4.42578125" style="2" customWidth="1"/>
    <col min="20" max="20" width="26.140625" style="2" customWidth="1"/>
    <col min="21" max="21" width="9.140625" style="2"/>
    <col min="22" max="22" width="32.28515625" style="2" customWidth="1"/>
    <col min="23" max="16384" width="9.140625" style="2"/>
  </cols>
  <sheetData>
    <row r="1" spans="1:20" ht="18" customHeight="1" x14ac:dyDescent="0.2">
      <c r="B1" s="192" t="s">
        <v>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20" ht="9" customHeight="1" x14ac:dyDescent="0.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O2" s="3"/>
      <c r="P2" s="42" t="s">
        <v>153</v>
      </c>
      <c r="Q2" s="42"/>
      <c r="R2" s="42"/>
      <c r="S2" s="42"/>
      <c r="T2" s="42"/>
    </row>
    <row r="3" spans="1:20" ht="15" customHeight="1" x14ac:dyDescent="0.2">
      <c r="A3" s="193" t="s">
        <v>154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20" ht="50.25" customHeight="1" x14ac:dyDescent="0.2">
      <c r="A4" s="194" t="s">
        <v>155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</row>
    <row r="5" spans="1:20" ht="16.5" customHeight="1" x14ac:dyDescent="0.2">
      <c r="A5" s="4" t="s">
        <v>3</v>
      </c>
      <c r="B5" s="197" t="s">
        <v>156</v>
      </c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9"/>
    </row>
    <row r="6" spans="1:20" ht="17.25" customHeight="1" x14ac:dyDescent="0.2">
      <c r="A6" s="5" t="s">
        <v>157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8"/>
    </row>
    <row r="7" spans="1:20" ht="33" customHeight="1" x14ac:dyDescent="0.2">
      <c r="A7" s="7" t="s">
        <v>158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59"/>
    </row>
    <row r="8" spans="1:20" ht="14.25" customHeight="1" x14ac:dyDescent="0.2">
      <c r="A8" s="9" t="s">
        <v>159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60">
        <v>0.2</v>
      </c>
    </row>
    <row r="9" spans="1:20" ht="25.5" customHeight="1" x14ac:dyDescent="0.2">
      <c r="A9" s="200" t="s">
        <v>160</v>
      </c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2"/>
    </row>
    <row r="10" spans="1:20" ht="19.5" customHeight="1" x14ac:dyDescent="0.2">
      <c r="A10" s="207"/>
      <c r="B10" s="210"/>
      <c r="C10" s="217" t="s">
        <v>14</v>
      </c>
      <c r="D10" s="203" t="s">
        <v>161</v>
      </c>
      <c r="E10" s="203"/>
      <c r="F10" s="203"/>
      <c r="G10" s="203"/>
      <c r="H10" s="203"/>
      <c r="I10" s="203" t="s">
        <v>162</v>
      </c>
      <c r="J10" s="203"/>
      <c r="K10" s="203"/>
      <c r="L10" s="203"/>
      <c r="M10" s="203"/>
      <c r="N10" s="204" t="s">
        <v>163</v>
      </c>
      <c r="O10" s="204" t="s">
        <v>164</v>
      </c>
      <c r="P10" s="204"/>
      <c r="Q10" s="204"/>
      <c r="R10" s="204"/>
      <c r="S10" s="204"/>
      <c r="T10" s="213" t="s">
        <v>165</v>
      </c>
    </row>
    <row r="11" spans="1:20" ht="22.5" customHeight="1" x14ac:dyDescent="0.2">
      <c r="A11" s="208"/>
      <c r="B11" s="211"/>
      <c r="C11" s="218"/>
      <c r="D11" s="12" t="s">
        <v>8</v>
      </c>
      <c r="E11" s="12" t="s">
        <v>9</v>
      </c>
      <c r="F11" s="12" t="s">
        <v>10</v>
      </c>
      <c r="G11" s="12" t="s">
        <v>11</v>
      </c>
      <c r="H11" s="12" t="s">
        <v>166</v>
      </c>
      <c r="I11" s="12" t="s">
        <v>8</v>
      </c>
      <c r="J11" s="12" t="s">
        <v>9</v>
      </c>
      <c r="K11" s="12" t="s">
        <v>10</v>
      </c>
      <c r="L11" s="12" t="s">
        <v>11</v>
      </c>
      <c r="M11" s="12" t="s">
        <v>166</v>
      </c>
      <c r="N11" s="212"/>
      <c r="O11" s="12" t="s">
        <v>8</v>
      </c>
      <c r="P11" s="12" t="s">
        <v>9</v>
      </c>
      <c r="Q11" s="12" t="s">
        <v>10</v>
      </c>
      <c r="R11" s="12" t="s">
        <v>11</v>
      </c>
      <c r="S11" s="12" t="s">
        <v>166</v>
      </c>
      <c r="T11" s="214"/>
    </row>
    <row r="12" spans="1:20" ht="12.75" customHeight="1" x14ac:dyDescent="0.2">
      <c r="A12" s="209" t="s">
        <v>50</v>
      </c>
      <c r="B12" s="209" t="s">
        <v>167</v>
      </c>
      <c r="C12" s="219" t="s">
        <v>168</v>
      </c>
      <c r="D12" s="14">
        <v>80</v>
      </c>
      <c r="E12" s="15"/>
      <c r="F12" s="15"/>
      <c r="G12" s="15"/>
      <c r="H12" s="15">
        <f>(D12+E12+F12+G12)/4</f>
        <v>20</v>
      </c>
      <c r="I12" s="17"/>
      <c r="J12" s="17"/>
      <c r="K12" s="17"/>
      <c r="L12" s="17"/>
      <c r="M12" s="15">
        <f>(I12+J12+K12+L12)/4</f>
        <v>0</v>
      </c>
      <c r="N12" s="43">
        <v>1</v>
      </c>
      <c r="O12" s="43"/>
      <c r="P12" s="43"/>
      <c r="Q12" s="43"/>
      <c r="R12" s="43"/>
      <c r="S12" s="43">
        <f>SUM(O12:R12)/4</f>
        <v>0</v>
      </c>
      <c r="T12" s="215">
        <f>(H12+N12-0.2*S12)+(M12-0.2*S12)</f>
        <v>21</v>
      </c>
    </row>
    <row r="13" spans="1:20" ht="21.75" customHeight="1" x14ac:dyDescent="0.2">
      <c r="A13" s="209"/>
      <c r="B13" s="209"/>
      <c r="C13" s="219"/>
      <c r="D13" s="16"/>
      <c r="E13" s="15"/>
      <c r="F13" s="15"/>
      <c r="G13" s="15"/>
      <c r="H13" s="15"/>
      <c r="I13" s="16"/>
      <c r="J13" s="16"/>
      <c r="K13" s="16"/>
      <c r="L13" s="16"/>
      <c r="M13" s="16"/>
      <c r="N13" s="44"/>
      <c r="O13" s="45"/>
      <c r="P13" s="46"/>
      <c r="Q13" s="46"/>
      <c r="R13" s="46"/>
      <c r="S13" s="46"/>
      <c r="T13" s="216"/>
    </row>
    <row r="14" spans="1:20" ht="13.5" customHeight="1" x14ac:dyDescent="0.2">
      <c r="A14" s="209" t="s">
        <v>54</v>
      </c>
      <c r="B14" s="209" t="s">
        <v>169</v>
      </c>
      <c r="C14" s="219"/>
      <c r="D14" s="16">
        <v>80</v>
      </c>
      <c r="E14" s="16"/>
      <c r="F14" s="16"/>
      <c r="G14" s="16"/>
      <c r="H14" s="15">
        <f>(D14+E14+F14+G14)/4</f>
        <v>20</v>
      </c>
      <c r="I14" s="16"/>
      <c r="J14" s="16"/>
      <c r="K14" s="16"/>
      <c r="L14" s="16"/>
      <c r="M14" s="15">
        <f>(I14+J14+K14+L14)/4</f>
        <v>0</v>
      </c>
      <c r="N14" s="43">
        <v>1</v>
      </c>
      <c r="O14" s="43"/>
      <c r="P14" s="43"/>
      <c r="Q14" s="43"/>
      <c r="R14" s="43"/>
      <c r="S14" s="43">
        <f>SUM(O14:R14)/4</f>
        <v>0</v>
      </c>
      <c r="T14" s="215">
        <f>(H14+N14-0.2*S14)+(M14-0.2*S14)</f>
        <v>21</v>
      </c>
    </row>
    <row r="15" spans="1:20" ht="33" customHeight="1" x14ac:dyDescent="0.2">
      <c r="A15" s="209"/>
      <c r="B15" s="209"/>
      <c r="C15" s="219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47"/>
      <c r="O15" s="48"/>
      <c r="P15" s="46"/>
      <c r="Q15" s="46"/>
      <c r="R15" s="46"/>
      <c r="S15" s="46"/>
      <c r="T15" s="216"/>
    </row>
    <row r="16" spans="1:20" ht="21" customHeight="1" x14ac:dyDescent="0.2">
      <c r="A16" s="205" t="s">
        <v>29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61"/>
      <c r="T16" s="62">
        <f>T12+T14</f>
        <v>42</v>
      </c>
    </row>
    <row r="17" spans="1:20" ht="32.25" customHeight="1" x14ac:dyDescent="0.2">
      <c r="A17" s="356" t="s">
        <v>170</v>
      </c>
      <c r="B17" s="226"/>
      <c r="C17" s="226" t="s">
        <v>14</v>
      </c>
      <c r="D17" s="220" t="s">
        <v>31</v>
      </c>
      <c r="E17" s="220"/>
      <c r="F17" s="220"/>
      <c r="G17" s="220"/>
      <c r="H17" s="220" t="s">
        <v>32</v>
      </c>
      <c r="I17" s="220"/>
      <c r="J17" s="220"/>
      <c r="K17" s="220"/>
      <c r="L17" s="220" t="s">
        <v>33</v>
      </c>
      <c r="M17" s="220"/>
      <c r="N17" s="220"/>
      <c r="O17" s="220"/>
      <c r="P17" s="220" t="s">
        <v>34</v>
      </c>
      <c r="Q17" s="220"/>
      <c r="R17" s="220"/>
      <c r="S17" s="220"/>
      <c r="T17" s="309" t="s">
        <v>171</v>
      </c>
    </row>
    <row r="18" spans="1:20" ht="30" customHeight="1" x14ac:dyDescent="0.2">
      <c r="A18" s="357"/>
      <c r="B18" s="225"/>
      <c r="C18" s="225"/>
      <c r="D18" s="18" t="s">
        <v>35</v>
      </c>
      <c r="E18" s="18" t="s">
        <v>172</v>
      </c>
      <c r="F18" s="18" t="s">
        <v>37</v>
      </c>
      <c r="G18" s="18" t="s">
        <v>39</v>
      </c>
      <c r="H18" s="18" t="s">
        <v>172</v>
      </c>
      <c r="I18" s="18" t="s">
        <v>37</v>
      </c>
      <c r="J18" s="18" t="s">
        <v>35</v>
      </c>
      <c r="K18" s="18" t="s">
        <v>39</v>
      </c>
      <c r="L18" s="18" t="s">
        <v>172</v>
      </c>
      <c r="M18" s="18" t="s">
        <v>37</v>
      </c>
      <c r="N18" s="18" t="s">
        <v>35</v>
      </c>
      <c r="O18" s="18" t="s">
        <v>39</v>
      </c>
      <c r="P18" s="18" t="s">
        <v>172</v>
      </c>
      <c r="Q18" s="18" t="s">
        <v>37</v>
      </c>
      <c r="R18" s="18" t="s">
        <v>35</v>
      </c>
      <c r="S18" s="18" t="s">
        <v>39</v>
      </c>
      <c r="T18" s="310"/>
    </row>
    <row r="19" spans="1:20" ht="11.25" customHeight="1" x14ac:dyDescent="0.2">
      <c r="A19" s="223" t="s">
        <v>50</v>
      </c>
      <c r="B19" s="224" t="s">
        <v>173</v>
      </c>
      <c r="C19" s="13" t="s">
        <v>174</v>
      </c>
      <c r="D19" s="15">
        <v>160</v>
      </c>
      <c r="E19" s="15"/>
      <c r="F19" s="15"/>
      <c r="G19" s="225">
        <f>D19+E19+F19+D20+E20+F20+D21+E21+F21</f>
        <v>160</v>
      </c>
      <c r="H19" s="15"/>
      <c r="I19" s="15"/>
      <c r="J19" s="15"/>
      <c r="K19" s="225">
        <f>H19+I19+J19+H20+I20+J20+H21+I21+J21</f>
        <v>0</v>
      </c>
      <c r="L19" s="15"/>
      <c r="M19" s="15"/>
      <c r="N19" s="15"/>
      <c r="O19" s="225">
        <f>L19+M19+N19+L20+M20+N20+L21+M21+N21</f>
        <v>0</v>
      </c>
      <c r="P19" s="15"/>
      <c r="Q19" s="15"/>
      <c r="R19" s="15"/>
      <c r="S19" s="225">
        <f t="shared" ref="S19" si="0">P19+Q19+R19+P20++Q20+R20+P21+Q21+R21</f>
        <v>0</v>
      </c>
      <c r="T19" s="310">
        <f>(G19+K19+O19+S19)/4</f>
        <v>40</v>
      </c>
    </row>
    <row r="20" spans="1:20" ht="11.25" customHeight="1" x14ac:dyDescent="0.2">
      <c r="A20" s="223"/>
      <c r="B20" s="224"/>
      <c r="C20" s="13" t="s">
        <v>175</v>
      </c>
      <c r="D20" s="15"/>
      <c r="E20" s="15"/>
      <c r="F20" s="15"/>
      <c r="G20" s="225"/>
      <c r="H20" s="15"/>
      <c r="I20" s="15"/>
      <c r="J20" s="15"/>
      <c r="K20" s="225"/>
      <c r="L20" s="15"/>
      <c r="M20" s="15"/>
      <c r="N20" s="15"/>
      <c r="O20" s="225"/>
      <c r="P20" s="15"/>
      <c r="Q20" s="15"/>
      <c r="R20" s="15"/>
      <c r="S20" s="225"/>
      <c r="T20" s="310"/>
    </row>
    <row r="21" spans="1:20" ht="28.5" customHeight="1" x14ac:dyDescent="0.2">
      <c r="A21" s="223"/>
      <c r="B21" s="224"/>
      <c r="C21" s="13" t="s">
        <v>176</v>
      </c>
      <c r="D21" s="15"/>
      <c r="E21" s="15"/>
      <c r="F21" s="15"/>
      <c r="G21" s="225"/>
      <c r="H21" s="15"/>
      <c r="I21" s="15"/>
      <c r="J21" s="15"/>
      <c r="K21" s="225"/>
      <c r="L21" s="15"/>
      <c r="M21" s="15"/>
      <c r="N21" s="15"/>
      <c r="O21" s="225"/>
      <c r="P21" s="15"/>
      <c r="Q21" s="15"/>
      <c r="R21" s="15"/>
      <c r="S21" s="225"/>
      <c r="T21" s="310"/>
    </row>
    <row r="22" spans="1:20" ht="20.25" customHeight="1" x14ac:dyDescent="0.2">
      <c r="A22" s="221" t="s">
        <v>48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1"/>
      <c r="T22" s="63">
        <f>T19</f>
        <v>40</v>
      </c>
    </row>
    <row r="23" spans="1:20" ht="21.75" customHeight="1" x14ac:dyDescent="0.2">
      <c r="A23" s="352" t="s">
        <v>177</v>
      </c>
      <c r="B23" s="353"/>
      <c r="C23" s="226" t="s">
        <v>14</v>
      </c>
      <c r="D23" s="220" t="s">
        <v>31</v>
      </c>
      <c r="E23" s="220"/>
      <c r="F23" s="220"/>
      <c r="G23" s="220"/>
      <c r="H23" s="220" t="s">
        <v>32</v>
      </c>
      <c r="I23" s="220"/>
      <c r="J23" s="220"/>
      <c r="K23" s="220"/>
      <c r="L23" s="220" t="s">
        <v>33</v>
      </c>
      <c r="M23" s="220"/>
      <c r="N23" s="220"/>
      <c r="O23" s="220"/>
      <c r="P23" s="220" t="s">
        <v>34</v>
      </c>
      <c r="Q23" s="220"/>
      <c r="R23" s="220"/>
      <c r="S23" s="220"/>
      <c r="T23" s="311" t="s">
        <v>171</v>
      </c>
    </row>
    <row r="24" spans="1:20" ht="21.75" customHeight="1" x14ac:dyDescent="0.2">
      <c r="A24" s="354"/>
      <c r="B24" s="355"/>
      <c r="C24" s="225"/>
      <c r="D24" s="227" t="s">
        <v>37</v>
      </c>
      <c r="E24" s="228"/>
      <c r="F24" s="228"/>
      <c r="G24" s="229"/>
      <c r="H24" s="227" t="s">
        <v>37</v>
      </c>
      <c r="I24" s="228"/>
      <c r="J24" s="228"/>
      <c r="K24" s="229"/>
      <c r="L24" s="227" t="s">
        <v>37</v>
      </c>
      <c r="M24" s="228"/>
      <c r="N24" s="228"/>
      <c r="O24" s="229"/>
      <c r="P24" s="227" t="s">
        <v>37</v>
      </c>
      <c r="Q24" s="228"/>
      <c r="R24" s="228"/>
      <c r="S24" s="229"/>
      <c r="T24" s="312"/>
    </row>
    <row r="25" spans="1:20" ht="10.5" customHeight="1" x14ac:dyDescent="0.2">
      <c r="A25" s="223" t="s">
        <v>50</v>
      </c>
      <c r="B25" s="373" t="s">
        <v>51</v>
      </c>
      <c r="C25" s="22" t="s">
        <v>52</v>
      </c>
      <c r="D25" s="225">
        <v>40</v>
      </c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310">
        <f>(D25+H25+L25+P25+D26+H26+L26+P26)/4</f>
        <v>10</v>
      </c>
    </row>
    <row r="26" spans="1:20" ht="10.5" customHeight="1" x14ac:dyDescent="0.2">
      <c r="A26" s="223"/>
      <c r="B26" s="374"/>
      <c r="C26" s="23" t="s">
        <v>178</v>
      </c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310"/>
    </row>
    <row r="27" spans="1:20" ht="10.5" customHeight="1" x14ac:dyDescent="0.2">
      <c r="A27" s="223" t="s">
        <v>54</v>
      </c>
      <c r="B27" s="331" t="s">
        <v>55</v>
      </c>
      <c r="C27" s="23" t="s">
        <v>56</v>
      </c>
      <c r="D27" s="225">
        <v>40</v>
      </c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310">
        <f>(D27+H27+L27+P27+D28+H28+L28+P28)/4</f>
        <v>10</v>
      </c>
    </row>
    <row r="28" spans="1:20" ht="10.5" customHeight="1" x14ac:dyDescent="0.2">
      <c r="A28" s="223"/>
      <c r="B28" s="331"/>
      <c r="C28" s="23" t="s">
        <v>178</v>
      </c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310"/>
    </row>
    <row r="29" spans="1:20" ht="10.5" customHeight="1" x14ac:dyDescent="0.2">
      <c r="A29" s="223" t="s">
        <v>57</v>
      </c>
      <c r="B29" s="331" t="s">
        <v>58</v>
      </c>
      <c r="C29" s="13" t="s">
        <v>59</v>
      </c>
      <c r="D29" s="225">
        <v>40</v>
      </c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5"/>
      <c r="S29" s="225"/>
      <c r="T29" s="310">
        <f>(D29+H29+L29+P29+D30+H30+L30+P30)/4</f>
        <v>10</v>
      </c>
    </row>
    <row r="30" spans="1:20" ht="10.5" customHeight="1" x14ac:dyDescent="0.2">
      <c r="A30" s="292"/>
      <c r="B30" s="375"/>
      <c r="C30" s="24" t="s">
        <v>179</v>
      </c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310"/>
    </row>
    <row r="31" spans="1:20" ht="10.5" customHeight="1" x14ac:dyDescent="0.2">
      <c r="A31" s="243" t="s">
        <v>61</v>
      </c>
      <c r="B31" s="325" t="s">
        <v>62</v>
      </c>
      <c r="C31" s="26" t="s">
        <v>63</v>
      </c>
      <c r="D31" s="225">
        <v>40</v>
      </c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313">
        <f>(D31+H31+L31+P31+D32+H32+L32+P32+D33+H33+L33+P33)/4</f>
        <v>10</v>
      </c>
    </row>
    <row r="32" spans="1:20" ht="10.5" customHeight="1" x14ac:dyDescent="0.2">
      <c r="A32" s="223"/>
      <c r="B32" s="331"/>
      <c r="C32" s="27" t="s">
        <v>180</v>
      </c>
      <c r="D32" s="225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5"/>
      <c r="R32" s="225"/>
      <c r="S32" s="225"/>
      <c r="T32" s="313"/>
    </row>
    <row r="33" spans="1:20" ht="10.5" customHeight="1" x14ac:dyDescent="0.2">
      <c r="A33" s="244"/>
      <c r="B33" s="326"/>
      <c r="C33" s="29" t="s">
        <v>181</v>
      </c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313"/>
    </row>
    <row r="34" spans="1:20" ht="18.75" customHeight="1" x14ac:dyDescent="0.2">
      <c r="A34" s="230" t="s">
        <v>66</v>
      </c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2"/>
      <c r="T34" s="64">
        <f>T25+T27+T29+T31</f>
        <v>40</v>
      </c>
    </row>
    <row r="35" spans="1:20" ht="25.5" customHeight="1" x14ac:dyDescent="0.2">
      <c r="A35" s="233" t="s">
        <v>67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65">
        <f>T16+T22+T34</f>
        <v>122</v>
      </c>
    </row>
    <row r="36" spans="1:20" ht="18.75" customHeight="1" x14ac:dyDescent="0.2">
      <c r="A36" s="30" t="s">
        <v>182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6"/>
    </row>
    <row r="37" spans="1:20" ht="15" customHeight="1" x14ac:dyDescent="0.2">
      <c r="A37" s="32" t="s">
        <v>183</v>
      </c>
      <c r="B37" s="33"/>
      <c r="C37" s="33"/>
      <c r="D37" s="33"/>
      <c r="E37" s="33"/>
      <c r="F37" s="33"/>
      <c r="G37" s="33"/>
      <c r="H37" s="33"/>
      <c r="I37" s="33"/>
      <c r="J37" s="235" t="s">
        <v>184</v>
      </c>
      <c r="K37" s="235"/>
      <c r="L37" s="235"/>
      <c r="M37" s="235"/>
      <c r="N37" s="235"/>
      <c r="O37" s="236"/>
      <c r="P37" s="49" t="s">
        <v>185</v>
      </c>
      <c r="Q37" s="49" t="s">
        <v>186</v>
      </c>
      <c r="R37" s="67" t="s">
        <v>187</v>
      </c>
      <c r="S37" s="49" t="s">
        <v>188</v>
      </c>
      <c r="T37" s="68" t="s">
        <v>165</v>
      </c>
    </row>
    <row r="38" spans="1:20" ht="10.5" customHeight="1" x14ac:dyDescent="0.2">
      <c r="A38" s="293" t="s">
        <v>71</v>
      </c>
      <c r="B38" s="349" t="s">
        <v>189</v>
      </c>
      <c r="C38" s="240"/>
      <c r="D38" s="240"/>
      <c r="E38" s="240"/>
      <c r="F38" s="240"/>
      <c r="G38" s="240"/>
      <c r="H38" s="240"/>
      <c r="I38" s="240"/>
      <c r="J38" s="237" t="s">
        <v>190</v>
      </c>
      <c r="K38" s="237"/>
      <c r="L38" s="237"/>
      <c r="M38" s="237"/>
      <c r="N38" s="237"/>
      <c r="O38" s="237"/>
      <c r="P38" s="50">
        <v>60</v>
      </c>
      <c r="Q38" s="50"/>
      <c r="R38" s="50"/>
      <c r="S38" s="50"/>
      <c r="T38" s="69">
        <f>P38+Q38+R38+S38/4</f>
        <v>60</v>
      </c>
    </row>
    <row r="39" spans="1:20" ht="10.5" customHeight="1" x14ac:dyDescent="0.2">
      <c r="A39" s="294"/>
      <c r="B39" s="350"/>
      <c r="C39" s="350"/>
      <c r="D39" s="350"/>
      <c r="E39" s="350"/>
      <c r="F39" s="350"/>
      <c r="G39" s="350"/>
      <c r="H39" s="350"/>
      <c r="I39" s="350"/>
      <c r="J39" s="238" t="s">
        <v>191</v>
      </c>
      <c r="K39" s="238"/>
      <c r="L39" s="238"/>
      <c r="M39" s="238"/>
      <c r="N39" s="238"/>
      <c r="O39" s="238"/>
      <c r="P39" s="51"/>
      <c r="Q39" s="51"/>
      <c r="R39" s="51"/>
      <c r="S39" s="51"/>
      <c r="T39" s="69">
        <f t="shared" ref="T39:T43" si="1">P39+Q39+R39+S39/4</f>
        <v>0</v>
      </c>
    </row>
    <row r="40" spans="1:20" ht="10.5" customHeight="1" x14ac:dyDescent="0.2">
      <c r="A40" s="294"/>
      <c r="B40" s="350"/>
      <c r="C40" s="350"/>
      <c r="D40" s="350"/>
      <c r="E40" s="350"/>
      <c r="F40" s="350"/>
      <c r="G40" s="350"/>
      <c r="H40" s="350"/>
      <c r="I40" s="350"/>
      <c r="J40" s="238" t="s">
        <v>192</v>
      </c>
      <c r="K40" s="238"/>
      <c r="L40" s="238"/>
      <c r="M40" s="238"/>
      <c r="N40" s="238"/>
      <c r="O40" s="238"/>
      <c r="P40" s="51"/>
      <c r="Q40" s="51"/>
      <c r="R40" s="51"/>
      <c r="S40" s="51"/>
      <c r="T40" s="69">
        <f t="shared" si="1"/>
        <v>0</v>
      </c>
    </row>
    <row r="41" spans="1:20" ht="10.5" customHeight="1" x14ac:dyDescent="0.2">
      <c r="A41" s="294"/>
      <c r="B41" s="350"/>
      <c r="C41" s="350"/>
      <c r="D41" s="350"/>
      <c r="E41" s="350"/>
      <c r="F41" s="350"/>
      <c r="G41" s="350"/>
      <c r="H41" s="350"/>
      <c r="I41" s="350"/>
      <c r="J41" s="238" t="s">
        <v>193</v>
      </c>
      <c r="K41" s="238"/>
      <c r="L41" s="238"/>
      <c r="M41" s="238"/>
      <c r="N41" s="238"/>
      <c r="O41" s="238"/>
      <c r="P41" s="51"/>
      <c r="Q41" s="51"/>
      <c r="R41" s="51"/>
      <c r="S41" s="51"/>
      <c r="T41" s="69">
        <f t="shared" si="1"/>
        <v>0</v>
      </c>
    </row>
    <row r="42" spans="1:20" ht="10.5" customHeight="1" x14ac:dyDescent="0.2">
      <c r="A42" s="294"/>
      <c r="B42" s="350"/>
      <c r="C42" s="350"/>
      <c r="D42" s="350"/>
      <c r="E42" s="350"/>
      <c r="F42" s="350"/>
      <c r="G42" s="350"/>
      <c r="H42" s="350"/>
      <c r="I42" s="350"/>
      <c r="J42" s="238" t="s">
        <v>194</v>
      </c>
      <c r="K42" s="238"/>
      <c r="L42" s="238"/>
      <c r="M42" s="238"/>
      <c r="N42" s="238"/>
      <c r="O42" s="238"/>
      <c r="P42" s="51"/>
      <c r="Q42" s="51"/>
      <c r="R42" s="51"/>
      <c r="S42" s="51"/>
      <c r="T42" s="69">
        <f t="shared" si="1"/>
        <v>0</v>
      </c>
    </row>
    <row r="43" spans="1:20" ht="17.25" customHeight="1" x14ac:dyDescent="0.2">
      <c r="A43" s="295"/>
      <c r="B43" s="351"/>
      <c r="C43" s="351"/>
      <c r="D43" s="351"/>
      <c r="E43" s="351"/>
      <c r="F43" s="351"/>
      <c r="G43" s="351"/>
      <c r="H43" s="351"/>
      <c r="I43" s="351"/>
      <c r="J43" s="239" t="s">
        <v>195</v>
      </c>
      <c r="K43" s="239"/>
      <c r="L43" s="239"/>
      <c r="M43" s="239"/>
      <c r="N43" s="239"/>
      <c r="O43" s="239"/>
      <c r="P43" s="52"/>
      <c r="Q43" s="52"/>
      <c r="R43" s="52"/>
      <c r="S43" s="52"/>
      <c r="T43" s="69">
        <f t="shared" si="1"/>
        <v>0</v>
      </c>
    </row>
    <row r="44" spans="1:20" ht="16.5" customHeight="1" x14ac:dyDescent="0.2">
      <c r="A44" s="34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53"/>
      <c r="M44" s="53"/>
      <c r="N44" s="53"/>
      <c r="O44" s="54"/>
      <c r="P44" s="55"/>
      <c r="Q44" s="55"/>
      <c r="R44" s="55"/>
      <c r="S44" s="55"/>
      <c r="T44" s="70">
        <f>T38+T39+T40+T41+T42+T43</f>
        <v>60</v>
      </c>
    </row>
    <row r="45" spans="1:20" ht="11.25" customHeight="1" x14ac:dyDescent="0.2">
      <c r="A45" s="243" t="s">
        <v>79</v>
      </c>
      <c r="B45" s="226" t="s">
        <v>80</v>
      </c>
      <c r="C45" s="220"/>
      <c r="D45" s="220"/>
      <c r="E45" s="220"/>
      <c r="F45" s="220"/>
      <c r="G45" s="220"/>
      <c r="H45" s="220"/>
      <c r="I45" s="220"/>
      <c r="J45" s="237" t="s">
        <v>94</v>
      </c>
      <c r="K45" s="237"/>
      <c r="L45" s="237"/>
      <c r="M45" s="237"/>
      <c r="N45" s="237"/>
      <c r="O45" s="237"/>
      <c r="P45" s="50"/>
      <c r="Q45" s="50"/>
      <c r="R45" s="50"/>
      <c r="S45" s="50"/>
      <c r="T45" s="69">
        <f>P45+Q45+R45+S45</f>
        <v>0</v>
      </c>
    </row>
    <row r="46" spans="1:20" ht="11.25" customHeight="1" x14ac:dyDescent="0.2">
      <c r="A46" s="223"/>
      <c r="B46" s="216"/>
      <c r="C46" s="216"/>
      <c r="D46" s="216"/>
      <c r="E46" s="216"/>
      <c r="F46" s="216"/>
      <c r="G46" s="216"/>
      <c r="H46" s="216"/>
      <c r="I46" s="216"/>
      <c r="J46" s="238" t="s">
        <v>196</v>
      </c>
      <c r="K46" s="238"/>
      <c r="L46" s="238"/>
      <c r="M46" s="238"/>
      <c r="N46" s="238"/>
      <c r="O46" s="238"/>
      <c r="P46" s="51"/>
      <c r="Q46" s="51"/>
      <c r="R46" s="51"/>
      <c r="S46" s="51"/>
      <c r="T46" s="69">
        <f t="shared" ref="T46:T49" si="2">P46+Q46+R46+S46</f>
        <v>0</v>
      </c>
    </row>
    <row r="47" spans="1:20" ht="11.25" customHeight="1" x14ac:dyDescent="0.2">
      <c r="A47" s="223"/>
      <c r="B47" s="216"/>
      <c r="C47" s="216"/>
      <c r="D47" s="216"/>
      <c r="E47" s="216"/>
      <c r="F47" s="216"/>
      <c r="G47" s="216"/>
      <c r="H47" s="216"/>
      <c r="I47" s="216"/>
      <c r="J47" s="238" t="s">
        <v>197</v>
      </c>
      <c r="K47" s="238"/>
      <c r="L47" s="238"/>
      <c r="M47" s="238"/>
      <c r="N47" s="238"/>
      <c r="O47" s="238"/>
      <c r="P47" s="51"/>
      <c r="Q47" s="51"/>
      <c r="R47" s="51"/>
      <c r="S47" s="51"/>
      <c r="T47" s="69">
        <f t="shared" si="2"/>
        <v>0</v>
      </c>
    </row>
    <row r="48" spans="1:20" ht="11.25" customHeight="1" x14ac:dyDescent="0.2">
      <c r="A48" s="223"/>
      <c r="B48" s="216"/>
      <c r="C48" s="216"/>
      <c r="D48" s="216"/>
      <c r="E48" s="216"/>
      <c r="F48" s="216"/>
      <c r="G48" s="216"/>
      <c r="H48" s="216"/>
      <c r="I48" s="216"/>
      <c r="J48" s="238" t="s">
        <v>198</v>
      </c>
      <c r="K48" s="238"/>
      <c r="L48" s="238"/>
      <c r="M48" s="238"/>
      <c r="N48" s="238"/>
      <c r="O48" s="238"/>
      <c r="P48" s="51"/>
      <c r="Q48" s="51"/>
      <c r="R48" s="51"/>
      <c r="S48" s="51"/>
      <c r="T48" s="69">
        <f t="shared" si="2"/>
        <v>0</v>
      </c>
    </row>
    <row r="49" spans="1:20" ht="11.25" customHeight="1" x14ac:dyDescent="0.2">
      <c r="A49" s="223"/>
      <c r="B49" s="216"/>
      <c r="C49" s="216"/>
      <c r="D49" s="216"/>
      <c r="E49" s="216"/>
      <c r="F49" s="216"/>
      <c r="G49" s="216"/>
      <c r="H49" s="216"/>
      <c r="I49" s="216"/>
      <c r="J49" s="238" t="s">
        <v>199</v>
      </c>
      <c r="K49" s="238"/>
      <c r="L49" s="238"/>
      <c r="M49" s="238"/>
      <c r="N49" s="238"/>
      <c r="O49" s="238"/>
      <c r="P49" s="51"/>
      <c r="Q49" s="51"/>
      <c r="R49" s="51"/>
      <c r="S49" s="51"/>
      <c r="T49" s="69">
        <f t="shared" si="2"/>
        <v>0</v>
      </c>
    </row>
    <row r="50" spans="1:20" ht="18.75" customHeight="1" x14ac:dyDescent="0.2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56"/>
      <c r="M50" s="56"/>
      <c r="N50" s="56"/>
      <c r="O50" s="56"/>
      <c r="P50" s="57"/>
      <c r="Q50" s="55"/>
      <c r="R50" s="55"/>
      <c r="S50" s="71"/>
      <c r="T50" s="72">
        <f>T45+T46+T47+T48+T49</f>
        <v>0</v>
      </c>
    </row>
    <row r="51" spans="1:20" ht="18.75" customHeight="1" x14ac:dyDescent="0.2">
      <c r="A51" s="243" t="s">
        <v>81</v>
      </c>
      <c r="B51" s="226" t="s">
        <v>82</v>
      </c>
      <c r="C51" s="220"/>
      <c r="D51" s="220"/>
      <c r="E51" s="220"/>
      <c r="F51" s="220"/>
      <c r="G51" s="220"/>
      <c r="H51" s="220"/>
      <c r="I51" s="220"/>
      <c r="J51" s="237" t="s">
        <v>94</v>
      </c>
      <c r="K51" s="237"/>
      <c r="L51" s="237"/>
      <c r="M51" s="237"/>
      <c r="N51" s="237"/>
      <c r="O51" s="237"/>
      <c r="P51" s="50"/>
      <c r="Q51" s="50"/>
      <c r="R51" s="50"/>
      <c r="S51" s="50"/>
      <c r="T51" s="69">
        <f>P51+Q51+R51+S51</f>
        <v>0</v>
      </c>
    </row>
    <row r="52" spans="1:20" ht="18.75" customHeight="1" x14ac:dyDescent="0.2">
      <c r="A52" s="223"/>
      <c r="B52" s="216"/>
      <c r="C52" s="216"/>
      <c r="D52" s="216"/>
      <c r="E52" s="216"/>
      <c r="F52" s="216"/>
      <c r="G52" s="216"/>
      <c r="H52" s="216"/>
      <c r="I52" s="216"/>
      <c r="J52" s="238" t="s">
        <v>196</v>
      </c>
      <c r="K52" s="238"/>
      <c r="L52" s="238"/>
      <c r="M52" s="238"/>
      <c r="N52" s="238"/>
      <c r="O52" s="238"/>
      <c r="P52" s="51"/>
      <c r="Q52" s="51"/>
      <c r="R52" s="51"/>
      <c r="S52" s="51"/>
      <c r="T52" s="69">
        <f t="shared" ref="T52:T55" si="3">P52+Q52+R52+S52</f>
        <v>0</v>
      </c>
    </row>
    <row r="53" spans="1:20" ht="18.75" customHeight="1" x14ac:dyDescent="0.2">
      <c r="A53" s="223"/>
      <c r="B53" s="216"/>
      <c r="C53" s="216"/>
      <c r="D53" s="216"/>
      <c r="E53" s="216"/>
      <c r="F53" s="216"/>
      <c r="G53" s="216"/>
      <c r="H53" s="216"/>
      <c r="I53" s="216"/>
      <c r="J53" s="238" t="s">
        <v>197</v>
      </c>
      <c r="K53" s="238"/>
      <c r="L53" s="238"/>
      <c r="M53" s="238"/>
      <c r="N53" s="238"/>
      <c r="O53" s="238"/>
      <c r="P53" s="51"/>
      <c r="Q53" s="51"/>
      <c r="R53" s="51"/>
      <c r="S53" s="51"/>
      <c r="T53" s="69">
        <f t="shared" si="3"/>
        <v>0</v>
      </c>
    </row>
    <row r="54" spans="1:20" ht="18.75" customHeight="1" x14ac:dyDescent="0.2">
      <c r="A54" s="223"/>
      <c r="B54" s="216"/>
      <c r="C54" s="216"/>
      <c r="D54" s="216"/>
      <c r="E54" s="216"/>
      <c r="F54" s="216"/>
      <c r="G54" s="216"/>
      <c r="H54" s="216"/>
      <c r="I54" s="216"/>
      <c r="J54" s="238" t="s">
        <v>198</v>
      </c>
      <c r="K54" s="238"/>
      <c r="L54" s="238"/>
      <c r="M54" s="238"/>
      <c r="N54" s="238"/>
      <c r="O54" s="238"/>
      <c r="P54" s="51"/>
      <c r="Q54" s="51"/>
      <c r="R54" s="51"/>
      <c r="S54" s="51"/>
      <c r="T54" s="69">
        <f t="shared" si="3"/>
        <v>0</v>
      </c>
    </row>
    <row r="55" spans="1:20" ht="18.75" customHeight="1" x14ac:dyDescent="0.2">
      <c r="A55" s="223"/>
      <c r="B55" s="216"/>
      <c r="C55" s="216"/>
      <c r="D55" s="216"/>
      <c r="E55" s="216"/>
      <c r="F55" s="216"/>
      <c r="G55" s="216"/>
      <c r="H55" s="216"/>
      <c r="I55" s="216"/>
      <c r="J55" s="238" t="s">
        <v>199</v>
      </c>
      <c r="K55" s="238"/>
      <c r="L55" s="238"/>
      <c r="M55" s="238"/>
      <c r="N55" s="238"/>
      <c r="O55" s="238"/>
      <c r="P55" s="51"/>
      <c r="Q55" s="51"/>
      <c r="R55" s="51"/>
      <c r="S55" s="51"/>
      <c r="T55" s="69">
        <f t="shared" si="3"/>
        <v>0</v>
      </c>
    </row>
    <row r="56" spans="1:20" ht="18.75" customHeight="1" x14ac:dyDescent="0.2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56"/>
      <c r="M56" s="56"/>
      <c r="N56" s="56"/>
      <c r="O56" s="56"/>
      <c r="P56" s="57"/>
      <c r="Q56" s="55"/>
      <c r="R56" s="55"/>
      <c r="S56" s="71"/>
      <c r="T56" s="72">
        <f>T51+T52+T53+T54+T55</f>
        <v>0</v>
      </c>
    </row>
    <row r="57" spans="1:20" ht="9.75" customHeight="1" x14ac:dyDescent="0.2">
      <c r="A57" s="243" t="s">
        <v>83</v>
      </c>
      <c r="B57" s="255" t="s">
        <v>200</v>
      </c>
      <c r="C57" s="255"/>
      <c r="D57" s="255"/>
      <c r="E57" s="255"/>
      <c r="F57" s="255"/>
      <c r="G57" s="255"/>
      <c r="H57" s="255"/>
      <c r="I57" s="255"/>
      <c r="J57" s="237" t="s">
        <v>201</v>
      </c>
      <c r="K57" s="237"/>
      <c r="L57" s="237"/>
      <c r="M57" s="237"/>
      <c r="N57" s="237"/>
      <c r="O57" s="237"/>
      <c r="P57" s="50"/>
      <c r="Q57" s="50"/>
      <c r="R57" s="50"/>
      <c r="S57" s="50"/>
      <c r="T57" s="69">
        <f>P57+Q57+R57+S57</f>
        <v>0</v>
      </c>
    </row>
    <row r="58" spans="1:20" ht="9.75" customHeight="1" x14ac:dyDescent="0.2">
      <c r="A58" s="223"/>
      <c r="B58" s="219"/>
      <c r="C58" s="219"/>
      <c r="D58" s="219"/>
      <c r="E58" s="219"/>
      <c r="F58" s="219"/>
      <c r="G58" s="219"/>
      <c r="H58" s="219"/>
      <c r="I58" s="219"/>
      <c r="J58" s="238" t="s">
        <v>202</v>
      </c>
      <c r="K58" s="238"/>
      <c r="L58" s="238"/>
      <c r="M58" s="238"/>
      <c r="N58" s="238"/>
      <c r="O58" s="238"/>
      <c r="P58" s="51"/>
      <c r="Q58" s="51"/>
      <c r="R58" s="51"/>
      <c r="S58" s="51"/>
      <c r="T58" s="69">
        <f t="shared" ref="T58:T61" si="4">P58+Q58+R58+S58</f>
        <v>0</v>
      </c>
    </row>
    <row r="59" spans="1:20" ht="9.75" customHeight="1" x14ac:dyDescent="0.2">
      <c r="A59" s="223"/>
      <c r="B59" s="219"/>
      <c r="C59" s="219"/>
      <c r="D59" s="219"/>
      <c r="E59" s="219"/>
      <c r="F59" s="219"/>
      <c r="G59" s="219"/>
      <c r="H59" s="219"/>
      <c r="I59" s="219"/>
      <c r="J59" s="238" t="s">
        <v>203</v>
      </c>
      <c r="K59" s="238"/>
      <c r="L59" s="238"/>
      <c r="M59" s="238"/>
      <c r="N59" s="238"/>
      <c r="O59" s="238"/>
      <c r="P59" s="51"/>
      <c r="Q59" s="51"/>
      <c r="R59" s="51"/>
      <c r="S59" s="51"/>
      <c r="T59" s="69">
        <f t="shared" si="4"/>
        <v>0</v>
      </c>
    </row>
    <row r="60" spans="1:20" ht="9.75" customHeight="1" x14ac:dyDescent="0.2">
      <c r="A60" s="223"/>
      <c r="B60" s="219"/>
      <c r="C60" s="219"/>
      <c r="D60" s="219"/>
      <c r="E60" s="219"/>
      <c r="F60" s="219"/>
      <c r="G60" s="219"/>
      <c r="H60" s="219"/>
      <c r="I60" s="219"/>
      <c r="J60" s="238" t="s">
        <v>204</v>
      </c>
      <c r="K60" s="238"/>
      <c r="L60" s="238"/>
      <c r="M60" s="238"/>
      <c r="N60" s="238"/>
      <c r="O60" s="238"/>
      <c r="P60" s="51"/>
      <c r="Q60" s="51"/>
      <c r="R60" s="51"/>
      <c r="S60" s="51"/>
      <c r="T60" s="69">
        <f t="shared" si="4"/>
        <v>0</v>
      </c>
    </row>
    <row r="61" spans="1:20" ht="78" customHeight="1" x14ac:dyDescent="0.2">
      <c r="A61" s="244"/>
      <c r="B61" s="256"/>
      <c r="C61" s="256"/>
      <c r="D61" s="256"/>
      <c r="E61" s="256"/>
      <c r="F61" s="256"/>
      <c r="G61" s="256"/>
      <c r="H61" s="256"/>
      <c r="I61" s="256"/>
      <c r="J61" s="245" t="s">
        <v>205</v>
      </c>
      <c r="K61" s="245"/>
      <c r="L61" s="245"/>
      <c r="M61" s="245"/>
      <c r="N61" s="245"/>
      <c r="O61" s="245"/>
      <c r="P61" s="52"/>
      <c r="Q61" s="52"/>
      <c r="R61" s="52"/>
      <c r="S61" s="52"/>
      <c r="T61" s="69">
        <f t="shared" si="4"/>
        <v>0</v>
      </c>
    </row>
    <row r="62" spans="1:20" ht="16.5" customHeight="1" x14ac:dyDescent="0.2">
      <c r="A62" s="37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56"/>
      <c r="M62" s="56"/>
      <c r="N62" s="56"/>
      <c r="O62" s="56"/>
      <c r="P62" s="57"/>
      <c r="Q62" s="55"/>
      <c r="R62" s="55"/>
      <c r="S62" s="71"/>
      <c r="T62" s="73">
        <f>T57+T58+T59+T61</f>
        <v>0</v>
      </c>
    </row>
    <row r="63" spans="1:20" ht="18" customHeight="1" x14ac:dyDescent="0.2">
      <c r="A63" s="243" t="s">
        <v>89</v>
      </c>
      <c r="B63" s="249" t="s">
        <v>88</v>
      </c>
      <c r="C63" s="250"/>
      <c r="D63" s="250"/>
      <c r="E63" s="250"/>
      <c r="F63" s="250"/>
      <c r="G63" s="250"/>
      <c r="H63" s="250"/>
      <c r="I63" s="250"/>
      <c r="J63" s="237" t="s">
        <v>206</v>
      </c>
      <c r="K63" s="237"/>
      <c r="L63" s="237"/>
      <c r="M63" s="237"/>
      <c r="N63" s="237"/>
      <c r="O63" s="237"/>
      <c r="P63" s="50">
        <v>3</v>
      </c>
      <c r="Q63" s="50"/>
      <c r="R63" s="50"/>
      <c r="S63" s="50"/>
      <c r="T63" s="74">
        <f>P63+Q63+R63+S63</f>
        <v>3</v>
      </c>
    </row>
    <row r="64" spans="1:20" ht="10.5" customHeight="1" x14ac:dyDescent="0.2">
      <c r="A64" s="223"/>
      <c r="B64" s="251"/>
      <c r="C64" s="252"/>
      <c r="D64" s="252"/>
      <c r="E64" s="252"/>
      <c r="F64" s="252"/>
      <c r="G64" s="252"/>
      <c r="H64" s="252"/>
      <c r="I64" s="252"/>
      <c r="J64" s="238" t="s">
        <v>207</v>
      </c>
      <c r="K64" s="238"/>
      <c r="L64" s="238"/>
      <c r="M64" s="238"/>
      <c r="N64" s="238"/>
      <c r="O64" s="238"/>
      <c r="P64" s="51"/>
      <c r="Q64" s="51"/>
      <c r="R64" s="51"/>
      <c r="S64" s="51"/>
      <c r="T64" s="74">
        <f t="shared" ref="T64:T67" si="5">P64+Q64+R64+S64</f>
        <v>0</v>
      </c>
    </row>
    <row r="65" spans="1:20" ht="10.5" customHeight="1" x14ac:dyDescent="0.2">
      <c r="A65" s="223"/>
      <c r="B65" s="251"/>
      <c r="C65" s="252"/>
      <c r="D65" s="252"/>
      <c r="E65" s="252"/>
      <c r="F65" s="252"/>
      <c r="G65" s="252"/>
      <c r="H65" s="252"/>
      <c r="I65" s="252"/>
      <c r="J65" s="238" t="s">
        <v>208</v>
      </c>
      <c r="K65" s="238"/>
      <c r="L65" s="238"/>
      <c r="M65" s="238"/>
      <c r="N65" s="238"/>
      <c r="O65" s="238"/>
      <c r="P65" s="51"/>
      <c r="Q65" s="51"/>
      <c r="R65" s="51"/>
      <c r="S65" s="51"/>
      <c r="T65" s="74">
        <f t="shared" si="5"/>
        <v>0</v>
      </c>
    </row>
    <row r="66" spans="1:20" ht="10.5" customHeight="1" x14ac:dyDescent="0.2">
      <c r="A66" s="223"/>
      <c r="B66" s="251"/>
      <c r="C66" s="252"/>
      <c r="D66" s="252"/>
      <c r="E66" s="252"/>
      <c r="F66" s="252"/>
      <c r="G66" s="252"/>
      <c r="H66" s="252"/>
      <c r="I66" s="252"/>
      <c r="J66" s="238" t="s">
        <v>209</v>
      </c>
      <c r="K66" s="238"/>
      <c r="L66" s="238"/>
      <c r="M66" s="238"/>
      <c r="N66" s="238"/>
      <c r="O66" s="238"/>
      <c r="P66" s="51"/>
      <c r="Q66" s="51"/>
      <c r="R66" s="51"/>
      <c r="S66" s="51"/>
      <c r="T66" s="74">
        <f t="shared" si="5"/>
        <v>0</v>
      </c>
    </row>
    <row r="67" spans="1:20" ht="13.5" customHeight="1" x14ac:dyDescent="0.2">
      <c r="A67" s="244"/>
      <c r="B67" s="253"/>
      <c r="C67" s="254"/>
      <c r="D67" s="254"/>
      <c r="E67" s="254"/>
      <c r="F67" s="254"/>
      <c r="G67" s="254"/>
      <c r="H67" s="254"/>
      <c r="I67" s="254"/>
      <c r="J67" s="239" t="s">
        <v>210</v>
      </c>
      <c r="K67" s="239"/>
      <c r="L67" s="239"/>
      <c r="M67" s="239"/>
      <c r="N67" s="239"/>
      <c r="O67" s="239"/>
      <c r="P67" s="52"/>
      <c r="Q67" s="52"/>
      <c r="R67" s="52"/>
      <c r="S67" s="52"/>
      <c r="T67" s="74">
        <f t="shared" si="5"/>
        <v>0</v>
      </c>
    </row>
    <row r="68" spans="1:20" ht="21.75" customHeight="1" x14ac:dyDescent="0.2">
      <c r="A68" s="37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56"/>
      <c r="M68" s="56"/>
      <c r="N68" s="56"/>
      <c r="O68" s="56"/>
      <c r="P68" s="57"/>
      <c r="Q68" s="55"/>
      <c r="R68" s="55"/>
      <c r="S68" s="71"/>
      <c r="T68" s="114">
        <f>T63+T64+T66+T67</f>
        <v>3</v>
      </c>
    </row>
    <row r="69" spans="1:20" ht="12" customHeight="1" x14ac:dyDescent="0.2">
      <c r="A69" s="243" t="s">
        <v>87</v>
      </c>
      <c r="B69" s="255" t="s">
        <v>90</v>
      </c>
      <c r="C69" s="255"/>
      <c r="D69" s="255"/>
      <c r="E69" s="255"/>
      <c r="F69" s="255"/>
      <c r="G69" s="255"/>
      <c r="H69" s="255"/>
      <c r="I69" s="255"/>
      <c r="J69" s="237" t="s">
        <v>207</v>
      </c>
      <c r="K69" s="237"/>
      <c r="L69" s="237"/>
      <c r="M69" s="237"/>
      <c r="N69" s="237"/>
      <c r="O69" s="237"/>
      <c r="P69" s="50"/>
      <c r="Q69" s="50"/>
      <c r="R69" s="50"/>
      <c r="S69" s="69"/>
      <c r="T69" s="115">
        <f>P69+Q69+R69+S69</f>
        <v>0</v>
      </c>
    </row>
    <row r="70" spans="1:20" ht="12" customHeight="1" x14ac:dyDescent="0.2">
      <c r="A70" s="223"/>
      <c r="B70" s="219"/>
      <c r="C70" s="219"/>
      <c r="D70" s="219"/>
      <c r="E70" s="219"/>
      <c r="F70" s="219"/>
      <c r="G70" s="219"/>
      <c r="H70" s="219"/>
      <c r="I70" s="219"/>
      <c r="J70" s="238" t="s">
        <v>211</v>
      </c>
      <c r="K70" s="238"/>
      <c r="L70" s="238"/>
      <c r="M70" s="238"/>
      <c r="N70" s="238"/>
      <c r="O70" s="238"/>
      <c r="P70" s="16"/>
      <c r="Q70" s="116"/>
      <c r="R70" s="51"/>
      <c r="S70" s="117"/>
      <c r="T70" s="115">
        <f t="shared" ref="T70:T72" si="6">P70+Q70+R70+S70</f>
        <v>0</v>
      </c>
    </row>
    <row r="71" spans="1:20" ht="12" customHeight="1" x14ac:dyDescent="0.2">
      <c r="A71" s="223"/>
      <c r="B71" s="219"/>
      <c r="C71" s="219"/>
      <c r="D71" s="219"/>
      <c r="E71" s="219"/>
      <c r="F71" s="219"/>
      <c r="G71" s="219"/>
      <c r="H71" s="219"/>
      <c r="I71" s="219"/>
      <c r="J71" s="238" t="s">
        <v>203</v>
      </c>
      <c r="K71" s="238"/>
      <c r="L71" s="238"/>
      <c r="M71" s="238"/>
      <c r="N71" s="238"/>
      <c r="O71" s="238"/>
      <c r="P71" s="16"/>
      <c r="Q71" s="116"/>
      <c r="R71" s="51"/>
      <c r="S71" s="117"/>
      <c r="T71" s="115">
        <f t="shared" si="6"/>
        <v>0</v>
      </c>
    </row>
    <row r="72" spans="1:20" ht="12" customHeight="1" x14ac:dyDescent="0.2">
      <c r="A72" s="244"/>
      <c r="B72" s="256"/>
      <c r="C72" s="256"/>
      <c r="D72" s="256"/>
      <c r="E72" s="256"/>
      <c r="F72" s="256"/>
      <c r="G72" s="256"/>
      <c r="H72" s="256"/>
      <c r="I72" s="256"/>
      <c r="J72" s="239" t="s">
        <v>212</v>
      </c>
      <c r="K72" s="239"/>
      <c r="L72" s="239"/>
      <c r="M72" s="239"/>
      <c r="N72" s="239"/>
      <c r="O72" s="239"/>
      <c r="P72" s="96"/>
      <c r="Q72" s="118"/>
      <c r="R72" s="52"/>
      <c r="S72" s="119"/>
      <c r="T72" s="115">
        <f t="shared" si="6"/>
        <v>0</v>
      </c>
    </row>
    <row r="73" spans="1:20" ht="9.75" customHeight="1" x14ac:dyDescent="0.2">
      <c r="A73" s="37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56"/>
      <c r="M73" s="56"/>
      <c r="N73" s="56"/>
      <c r="O73" s="56"/>
      <c r="P73" s="97"/>
      <c r="Q73" s="120"/>
      <c r="R73" s="121"/>
      <c r="S73" s="121"/>
      <c r="T73" s="122">
        <f>T69+T70+T71+T72</f>
        <v>0</v>
      </c>
    </row>
    <row r="74" spans="1:20" ht="21.75" customHeight="1" x14ac:dyDescent="0.2">
      <c r="A74" s="246" t="s">
        <v>213</v>
      </c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8"/>
      <c r="T74" s="123">
        <f>T44+T50+T62+T73</f>
        <v>60</v>
      </c>
    </row>
    <row r="75" spans="1:20" ht="9" customHeight="1" x14ac:dyDescent="0.2">
      <c r="A75" s="364" t="s">
        <v>214</v>
      </c>
      <c r="B75" s="365"/>
      <c r="C75" s="366"/>
      <c r="D75" s="370" t="s">
        <v>14</v>
      </c>
      <c r="E75" s="371"/>
      <c r="F75" s="371"/>
      <c r="G75" s="371"/>
      <c r="H75" s="365"/>
      <c r="I75" s="365"/>
      <c r="J75" s="365"/>
      <c r="K75" s="366"/>
      <c r="L75" s="220" t="s">
        <v>185</v>
      </c>
      <c r="M75" s="220"/>
      <c r="N75" s="226" t="s">
        <v>186</v>
      </c>
      <c r="O75" s="226"/>
      <c r="P75" s="240" t="s">
        <v>187</v>
      </c>
      <c r="Q75" s="240"/>
      <c r="R75" s="241" t="s">
        <v>188</v>
      </c>
      <c r="S75" s="242"/>
      <c r="T75" s="314" t="s">
        <v>215</v>
      </c>
    </row>
    <row r="76" spans="1:20" ht="17.25" customHeight="1" x14ac:dyDescent="0.2">
      <c r="A76" s="367"/>
      <c r="B76" s="368"/>
      <c r="C76" s="369"/>
      <c r="D76" s="372"/>
      <c r="E76" s="368"/>
      <c r="F76" s="368"/>
      <c r="G76" s="368"/>
      <c r="H76" s="368"/>
      <c r="I76" s="368"/>
      <c r="J76" s="368"/>
      <c r="K76" s="369"/>
      <c r="L76" s="47" t="s">
        <v>216</v>
      </c>
      <c r="M76" s="47" t="s">
        <v>217</v>
      </c>
      <c r="N76" s="47" t="s">
        <v>216</v>
      </c>
      <c r="O76" s="47" t="s">
        <v>217</v>
      </c>
      <c r="P76" s="18" t="s">
        <v>216</v>
      </c>
      <c r="Q76" s="18" t="s">
        <v>217</v>
      </c>
      <c r="R76" s="18" t="s">
        <v>216</v>
      </c>
      <c r="S76" s="18" t="s">
        <v>217</v>
      </c>
      <c r="T76" s="315"/>
    </row>
    <row r="77" spans="1:20" ht="11.25" customHeight="1" x14ac:dyDescent="0.2">
      <c r="A77" s="223" t="s">
        <v>71</v>
      </c>
      <c r="B77" s="360" t="s">
        <v>218</v>
      </c>
      <c r="C77" s="361"/>
      <c r="D77" s="209" t="s">
        <v>219</v>
      </c>
      <c r="E77" s="209"/>
      <c r="F77" s="209"/>
      <c r="G77" s="209"/>
      <c r="H77" s="209"/>
      <c r="I77" s="209"/>
      <c r="J77" s="209"/>
      <c r="K77" s="209"/>
      <c r="L77" s="98">
        <v>90</v>
      </c>
      <c r="M77" s="98">
        <v>20</v>
      </c>
      <c r="N77" s="99"/>
      <c r="O77" s="99"/>
      <c r="P77" s="51"/>
      <c r="Q77" s="51"/>
      <c r="R77" s="51"/>
      <c r="S77" s="51"/>
      <c r="T77" s="117">
        <f>L77+M77+N77+O77+P77+Q77+R77+S77</f>
        <v>110</v>
      </c>
    </row>
    <row r="78" spans="1:20" ht="11.25" customHeight="1" x14ac:dyDescent="0.2">
      <c r="A78" s="223"/>
      <c r="B78" s="362"/>
      <c r="C78" s="363"/>
      <c r="D78" s="209" t="s">
        <v>220</v>
      </c>
      <c r="E78" s="209"/>
      <c r="F78" s="209"/>
      <c r="G78" s="209"/>
      <c r="H78" s="209"/>
      <c r="I78" s="209"/>
      <c r="J78" s="209"/>
      <c r="K78" s="209"/>
      <c r="L78" s="98"/>
      <c r="M78" s="98"/>
      <c r="N78" s="99"/>
      <c r="O78" s="99"/>
      <c r="P78" s="51"/>
      <c r="Q78" s="51"/>
      <c r="R78" s="51"/>
      <c r="S78" s="51"/>
      <c r="T78" s="117">
        <f t="shared" ref="T78:T81" si="7">L78+M78+N78+O78+P78+Q78+R78+S78</f>
        <v>0</v>
      </c>
    </row>
    <row r="79" spans="1:20" ht="11.25" customHeight="1" x14ac:dyDescent="0.2">
      <c r="A79" s="223"/>
      <c r="B79" s="362"/>
      <c r="C79" s="363"/>
      <c r="D79" s="209" t="s">
        <v>221</v>
      </c>
      <c r="E79" s="209"/>
      <c r="F79" s="209"/>
      <c r="G79" s="209"/>
      <c r="H79" s="209"/>
      <c r="I79" s="209"/>
      <c r="J79" s="209"/>
      <c r="K79" s="209"/>
      <c r="L79" s="98"/>
      <c r="M79" s="98"/>
      <c r="N79" s="99"/>
      <c r="O79" s="99"/>
      <c r="P79" s="51"/>
      <c r="Q79" s="51"/>
      <c r="R79" s="51"/>
      <c r="S79" s="51"/>
      <c r="T79" s="117">
        <f t="shared" si="7"/>
        <v>0</v>
      </c>
    </row>
    <row r="80" spans="1:20" ht="11.25" customHeight="1" x14ac:dyDescent="0.2">
      <c r="A80" s="223"/>
      <c r="B80" s="362"/>
      <c r="C80" s="363"/>
      <c r="D80" s="209" t="s">
        <v>222</v>
      </c>
      <c r="E80" s="209"/>
      <c r="F80" s="209"/>
      <c r="G80" s="209"/>
      <c r="H80" s="209"/>
      <c r="I80" s="209"/>
      <c r="J80" s="209"/>
      <c r="K80" s="209"/>
      <c r="L80" s="98"/>
      <c r="M80" s="98"/>
      <c r="N80" s="99"/>
      <c r="O80" s="99"/>
      <c r="P80" s="51"/>
      <c r="Q80" s="51"/>
      <c r="R80" s="51"/>
      <c r="S80" s="51"/>
      <c r="T80" s="117">
        <f t="shared" si="7"/>
        <v>0</v>
      </c>
    </row>
    <row r="81" spans="1:20" ht="11.25" customHeight="1" x14ac:dyDescent="0.2">
      <c r="A81" s="223"/>
      <c r="B81" s="362"/>
      <c r="C81" s="363"/>
      <c r="D81" s="219" t="s">
        <v>223</v>
      </c>
      <c r="E81" s="219"/>
      <c r="F81" s="219"/>
      <c r="G81" s="219"/>
      <c r="H81" s="219"/>
      <c r="I81" s="219"/>
      <c r="J81" s="219"/>
      <c r="K81" s="219"/>
      <c r="L81" s="98"/>
      <c r="M81" s="98"/>
      <c r="N81" s="16"/>
      <c r="O81" s="16"/>
      <c r="P81" s="16"/>
      <c r="Q81" s="116"/>
      <c r="R81" s="51"/>
      <c r="S81" s="51"/>
      <c r="T81" s="117">
        <f t="shared" si="7"/>
        <v>0</v>
      </c>
    </row>
    <row r="82" spans="1:20" ht="23.25" customHeight="1" x14ac:dyDescent="0.2">
      <c r="A82" s="76"/>
      <c r="B82" s="77"/>
      <c r="C82" s="78"/>
      <c r="D82" s="40"/>
      <c r="E82" s="41"/>
      <c r="F82" s="41"/>
      <c r="G82" s="41"/>
      <c r="H82" s="41"/>
      <c r="I82" s="41"/>
      <c r="J82" s="41"/>
      <c r="K82" s="41"/>
      <c r="L82" s="41"/>
      <c r="M82" s="100"/>
      <c r="N82" s="97"/>
      <c r="O82" s="97"/>
      <c r="P82" s="97"/>
      <c r="Q82" s="120"/>
      <c r="R82" s="124"/>
      <c r="S82" s="125"/>
      <c r="T82" s="70">
        <f>T77+T78+T79+T80+T81</f>
        <v>110</v>
      </c>
    </row>
    <row r="83" spans="1:20" ht="15" customHeight="1" x14ac:dyDescent="0.2">
      <c r="A83" s="243" t="s">
        <v>79</v>
      </c>
      <c r="B83" s="324" t="s">
        <v>224</v>
      </c>
      <c r="C83" s="325"/>
      <c r="D83" s="298" t="s">
        <v>225</v>
      </c>
      <c r="E83" s="298"/>
      <c r="F83" s="298"/>
      <c r="G83" s="298"/>
      <c r="H83" s="298"/>
      <c r="I83" s="298"/>
      <c r="J83" s="298"/>
      <c r="K83" s="298"/>
      <c r="L83" s="101">
        <v>5</v>
      </c>
      <c r="M83" s="101"/>
      <c r="N83" s="102"/>
      <c r="O83" s="102"/>
      <c r="P83" s="102"/>
      <c r="Q83" s="126"/>
      <c r="R83" s="126"/>
      <c r="S83" s="126"/>
      <c r="T83" s="69">
        <f>L83+M83+N83+O83+P83+Q83+R83+S83</f>
        <v>5</v>
      </c>
    </row>
    <row r="84" spans="1:20" ht="15" customHeight="1" x14ac:dyDescent="0.2">
      <c r="A84" s="223"/>
      <c r="B84" s="331"/>
      <c r="C84" s="331"/>
      <c r="D84" s="209" t="s">
        <v>226</v>
      </c>
      <c r="E84" s="209"/>
      <c r="F84" s="209"/>
      <c r="G84" s="209"/>
      <c r="H84" s="209"/>
      <c r="I84" s="209"/>
      <c r="J84" s="209"/>
      <c r="K84" s="209"/>
      <c r="L84" s="98"/>
      <c r="M84" s="98"/>
      <c r="N84" s="16"/>
      <c r="O84" s="16"/>
      <c r="P84" s="16"/>
      <c r="Q84" s="116"/>
      <c r="R84" s="116"/>
      <c r="S84" s="116"/>
      <c r="T84" s="69">
        <f t="shared" ref="T84:T87" si="8">L84+M84+N84+O84+P84+Q84+R84+S84</f>
        <v>0</v>
      </c>
    </row>
    <row r="85" spans="1:20" ht="15" customHeight="1" x14ac:dyDescent="0.2">
      <c r="A85" s="223"/>
      <c r="B85" s="331"/>
      <c r="C85" s="331"/>
      <c r="D85" s="209" t="s">
        <v>227</v>
      </c>
      <c r="E85" s="209"/>
      <c r="F85" s="209"/>
      <c r="G85" s="209"/>
      <c r="H85" s="209"/>
      <c r="I85" s="209"/>
      <c r="J85" s="209"/>
      <c r="K85" s="209"/>
      <c r="L85" s="98"/>
      <c r="M85" s="98"/>
      <c r="N85" s="16"/>
      <c r="O85" s="16"/>
      <c r="P85" s="16"/>
      <c r="Q85" s="116"/>
      <c r="R85" s="116"/>
      <c r="S85" s="116"/>
      <c r="T85" s="69">
        <f t="shared" si="8"/>
        <v>0</v>
      </c>
    </row>
    <row r="86" spans="1:20" ht="15" customHeight="1" x14ac:dyDescent="0.2">
      <c r="A86" s="223"/>
      <c r="B86" s="331"/>
      <c r="C86" s="331"/>
      <c r="D86" s="209" t="s">
        <v>228</v>
      </c>
      <c r="E86" s="209"/>
      <c r="F86" s="209"/>
      <c r="G86" s="209"/>
      <c r="H86" s="209"/>
      <c r="I86" s="209"/>
      <c r="J86" s="209"/>
      <c r="K86" s="209"/>
      <c r="L86" s="98"/>
      <c r="M86" s="98"/>
      <c r="N86" s="16"/>
      <c r="O86" s="16"/>
      <c r="P86" s="16"/>
      <c r="Q86" s="116"/>
      <c r="R86" s="116"/>
      <c r="S86" s="116"/>
      <c r="T86" s="69">
        <f t="shared" si="8"/>
        <v>0</v>
      </c>
    </row>
    <row r="87" spans="1:20" ht="15" customHeight="1" x14ac:dyDescent="0.2">
      <c r="A87" s="244"/>
      <c r="B87" s="326"/>
      <c r="C87" s="326"/>
      <c r="D87" s="256" t="s">
        <v>229</v>
      </c>
      <c r="E87" s="256"/>
      <c r="F87" s="256"/>
      <c r="G87" s="256"/>
      <c r="H87" s="256"/>
      <c r="I87" s="256"/>
      <c r="J87" s="256"/>
      <c r="K87" s="256"/>
      <c r="L87" s="103"/>
      <c r="M87" s="103"/>
      <c r="N87" s="96"/>
      <c r="O87" s="96"/>
      <c r="P87" s="96"/>
      <c r="Q87" s="118"/>
      <c r="R87" s="118"/>
      <c r="S87" s="118"/>
      <c r="T87" s="69">
        <f t="shared" si="8"/>
        <v>0</v>
      </c>
    </row>
    <row r="88" spans="1:20" ht="19.5" customHeight="1" x14ac:dyDescent="0.2">
      <c r="A88" s="76"/>
      <c r="B88" s="77"/>
      <c r="C88" s="78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97"/>
      <c r="O88" s="97"/>
      <c r="P88" s="97"/>
      <c r="Q88" s="120"/>
      <c r="R88" s="124"/>
      <c r="S88" s="125"/>
      <c r="T88" s="127">
        <f>T83+T84+T85+T86+T87</f>
        <v>5</v>
      </c>
    </row>
    <row r="89" spans="1:20" ht="12" customHeight="1" x14ac:dyDescent="0.2">
      <c r="A89" s="243" t="s">
        <v>81</v>
      </c>
      <c r="B89" s="324" t="s">
        <v>100</v>
      </c>
      <c r="C89" s="324"/>
      <c r="D89" s="298" t="s">
        <v>230</v>
      </c>
      <c r="E89" s="298"/>
      <c r="F89" s="298"/>
      <c r="G89" s="298"/>
      <c r="H89" s="298"/>
      <c r="I89" s="298"/>
      <c r="J89" s="298"/>
      <c r="K89" s="298"/>
      <c r="L89" s="101">
        <v>5</v>
      </c>
      <c r="M89" s="101"/>
      <c r="N89" s="102"/>
      <c r="O89" s="102"/>
      <c r="P89" s="102"/>
      <c r="Q89" s="126"/>
      <c r="R89" s="126"/>
      <c r="S89" s="126"/>
      <c r="T89" s="128">
        <f>L89+M89+N89+O89+P89+Q89+R89+S89</f>
        <v>5</v>
      </c>
    </row>
    <row r="90" spans="1:20" ht="12" customHeight="1" x14ac:dyDescent="0.2">
      <c r="A90" s="223"/>
      <c r="B90" s="224"/>
      <c r="C90" s="224"/>
      <c r="D90" s="209" t="s">
        <v>231</v>
      </c>
      <c r="E90" s="209"/>
      <c r="F90" s="209"/>
      <c r="G90" s="209"/>
      <c r="H90" s="209"/>
      <c r="I90" s="209"/>
      <c r="J90" s="209"/>
      <c r="K90" s="209"/>
      <c r="L90" s="98"/>
      <c r="M90" s="98"/>
      <c r="N90" s="16"/>
      <c r="O90" s="16"/>
      <c r="P90" s="16"/>
      <c r="Q90" s="116"/>
      <c r="R90" s="116"/>
      <c r="S90" s="116"/>
      <c r="T90" s="128">
        <f t="shared" ref="T90:T92" si="9">L90+M90+N90+O90+P90+Q90+R90+S90</f>
        <v>0</v>
      </c>
    </row>
    <row r="91" spans="1:20" ht="12" customHeight="1" x14ac:dyDescent="0.2">
      <c r="A91" s="223"/>
      <c r="B91" s="224"/>
      <c r="C91" s="224"/>
      <c r="D91" s="209" t="s">
        <v>232</v>
      </c>
      <c r="E91" s="209"/>
      <c r="F91" s="209"/>
      <c r="G91" s="209"/>
      <c r="H91" s="209"/>
      <c r="I91" s="209"/>
      <c r="J91" s="209"/>
      <c r="K91" s="209"/>
      <c r="L91" s="98"/>
      <c r="M91" s="98"/>
      <c r="N91" s="16"/>
      <c r="O91" s="16"/>
      <c r="P91" s="16"/>
      <c r="Q91" s="116"/>
      <c r="R91" s="116"/>
      <c r="S91" s="116"/>
      <c r="T91" s="128">
        <f t="shared" si="9"/>
        <v>0</v>
      </c>
    </row>
    <row r="92" spans="1:20" ht="12" customHeight="1" x14ac:dyDescent="0.2">
      <c r="A92" s="244"/>
      <c r="B92" s="359"/>
      <c r="C92" s="359"/>
      <c r="D92" s="286" t="s">
        <v>233</v>
      </c>
      <c r="E92" s="286"/>
      <c r="F92" s="286"/>
      <c r="G92" s="286"/>
      <c r="H92" s="286"/>
      <c r="I92" s="286"/>
      <c r="J92" s="286"/>
      <c r="K92" s="286"/>
      <c r="L92" s="104"/>
      <c r="M92" s="104"/>
      <c r="N92" s="96"/>
      <c r="O92" s="96"/>
      <c r="P92" s="96"/>
      <c r="Q92" s="118"/>
      <c r="R92" s="118"/>
      <c r="S92" s="118"/>
      <c r="T92" s="128">
        <f t="shared" si="9"/>
        <v>0</v>
      </c>
    </row>
    <row r="93" spans="1:20" ht="12" customHeight="1" x14ac:dyDescent="0.2">
      <c r="A93" s="37"/>
      <c r="B93" s="80"/>
      <c r="C93" s="39"/>
      <c r="D93" s="81"/>
      <c r="E93" s="81"/>
      <c r="F93" s="81"/>
      <c r="G93" s="81"/>
      <c r="H93" s="81"/>
      <c r="I93" s="105"/>
      <c r="J93" s="105"/>
      <c r="K93" s="105"/>
      <c r="L93" s="81"/>
      <c r="M93" s="81"/>
      <c r="N93" s="97"/>
      <c r="O93" s="97"/>
      <c r="P93" s="97"/>
      <c r="Q93" s="75"/>
      <c r="R93" s="121"/>
      <c r="S93" s="124"/>
      <c r="T93" s="129">
        <f>T89+T90+T91+T92</f>
        <v>5</v>
      </c>
    </row>
    <row r="94" spans="1:20" ht="12.75" customHeight="1" x14ac:dyDescent="0.2">
      <c r="A94" s="296" t="s">
        <v>87</v>
      </c>
      <c r="B94" s="358" t="s">
        <v>101</v>
      </c>
      <c r="C94" s="358"/>
      <c r="D94" s="298" t="s">
        <v>234</v>
      </c>
      <c r="E94" s="298"/>
      <c r="F94" s="298"/>
      <c r="G94" s="298"/>
      <c r="H94" s="298"/>
      <c r="I94" s="298"/>
      <c r="J94" s="298"/>
      <c r="K94" s="298"/>
      <c r="L94" s="101"/>
      <c r="M94" s="101"/>
      <c r="N94" s="102"/>
      <c r="O94" s="102"/>
      <c r="P94" s="102"/>
      <c r="Q94" s="126"/>
      <c r="R94" s="126"/>
      <c r="S94" s="126"/>
      <c r="T94" s="128">
        <f>L94+M94+N94+O94+P94+Q94+R94+S94</f>
        <v>0</v>
      </c>
    </row>
    <row r="95" spans="1:20" ht="12.75" customHeight="1" x14ac:dyDescent="0.2">
      <c r="A95" s="297"/>
      <c r="B95" s="343"/>
      <c r="C95" s="343"/>
      <c r="D95" s="286"/>
      <c r="E95" s="286"/>
      <c r="F95" s="286"/>
      <c r="G95" s="286"/>
      <c r="H95" s="286"/>
      <c r="I95" s="286"/>
      <c r="J95" s="286"/>
      <c r="K95" s="286"/>
      <c r="L95" s="106"/>
      <c r="M95" s="106"/>
      <c r="N95" s="96"/>
      <c r="O95" s="96"/>
      <c r="P95" s="96"/>
      <c r="Q95" s="118"/>
      <c r="R95" s="118"/>
      <c r="S95" s="118"/>
      <c r="T95" s="130"/>
    </row>
    <row r="96" spans="1:20" ht="0.75" customHeight="1" x14ac:dyDescent="0.2">
      <c r="A96" s="82"/>
      <c r="B96" s="83"/>
      <c r="C96" s="8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97"/>
      <c r="O96" s="97"/>
      <c r="P96" s="97"/>
      <c r="Q96" s="75"/>
      <c r="R96" s="131"/>
      <c r="S96" s="131"/>
      <c r="T96" s="132">
        <f>T94+T95</f>
        <v>0</v>
      </c>
    </row>
    <row r="97" spans="1:20" ht="15.75" customHeight="1" x14ac:dyDescent="0.2">
      <c r="A97" s="85" t="s">
        <v>89</v>
      </c>
      <c r="B97" s="299" t="s">
        <v>102</v>
      </c>
      <c r="C97" s="300"/>
      <c r="D97" s="301" t="s">
        <v>235</v>
      </c>
      <c r="E97" s="301"/>
      <c r="F97" s="301"/>
      <c r="G97" s="301"/>
      <c r="H97" s="301"/>
      <c r="I97" s="301"/>
      <c r="J97" s="301"/>
      <c r="K97" s="301"/>
      <c r="L97" s="107"/>
      <c r="M97" s="107"/>
      <c r="N97" s="108"/>
      <c r="O97" s="108"/>
      <c r="P97" s="108"/>
      <c r="Q97" s="133"/>
      <c r="R97" s="133"/>
      <c r="S97" s="133"/>
      <c r="T97" s="134">
        <f>L97+M97+N97+O97+P97+Q97+R97+S97</f>
        <v>0</v>
      </c>
    </row>
    <row r="98" spans="1:20" ht="12.75" customHeight="1" x14ac:dyDescent="0.2">
      <c r="A98" s="302" t="s">
        <v>236</v>
      </c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89"/>
      <c r="T98" s="134">
        <f>T82+T88+T93+T94+T97</f>
        <v>120</v>
      </c>
    </row>
    <row r="99" spans="1:20" ht="24" customHeight="1" x14ac:dyDescent="0.2">
      <c r="A99" s="304" t="s">
        <v>237</v>
      </c>
      <c r="B99" s="305"/>
      <c r="C99" s="305"/>
      <c r="D99" s="305"/>
      <c r="E99" s="305"/>
      <c r="F99" s="306"/>
      <c r="G99" s="307" t="s">
        <v>184</v>
      </c>
      <c r="H99" s="216"/>
      <c r="I99" s="216"/>
      <c r="J99" s="216"/>
      <c r="K99" s="216"/>
      <c r="L99" s="216"/>
      <c r="M99" s="216"/>
      <c r="N99" s="216"/>
      <c r="O99" s="216"/>
      <c r="P99" s="50" t="s">
        <v>185</v>
      </c>
      <c r="Q99" s="50" t="s">
        <v>186</v>
      </c>
      <c r="R99" s="50" t="s">
        <v>187</v>
      </c>
      <c r="S99" s="50" t="s">
        <v>188</v>
      </c>
      <c r="T99" s="69" t="s">
        <v>165</v>
      </c>
    </row>
    <row r="100" spans="1:20" ht="12" customHeight="1" x14ac:dyDescent="0.2">
      <c r="A100" s="19" t="s">
        <v>238</v>
      </c>
      <c r="B100" s="308" t="s">
        <v>239</v>
      </c>
      <c r="C100" s="257"/>
      <c r="D100" s="257"/>
      <c r="E100" s="257"/>
      <c r="F100" s="257"/>
      <c r="G100" s="257" t="s">
        <v>240</v>
      </c>
      <c r="H100" s="257"/>
      <c r="I100" s="257"/>
      <c r="J100" s="257"/>
      <c r="K100" s="257"/>
      <c r="L100" s="257"/>
      <c r="M100" s="257"/>
      <c r="N100" s="257"/>
      <c r="O100" s="257"/>
      <c r="P100" s="16">
        <v>40</v>
      </c>
      <c r="Q100" s="116"/>
      <c r="R100" s="116"/>
      <c r="S100" s="116"/>
      <c r="T100" s="135">
        <f>P100+Q100+R100+S100</f>
        <v>40</v>
      </c>
    </row>
    <row r="101" spans="1:20" ht="9.75" customHeight="1" x14ac:dyDescent="0.2">
      <c r="A101" s="223" t="s">
        <v>241</v>
      </c>
      <c r="B101" s="262" t="s">
        <v>242</v>
      </c>
      <c r="C101" s="263"/>
      <c r="D101" s="263"/>
      <c r="E101" s="263"/>
      <c r="F101" s="263"/>
      <c r="G101" s="257" t="s">
        <v>243</v>
      </c>
      <c r="H101" s="257"/>
      <c r="I101" s="257"/>
      <c r="J101" s="257"/>
      <c r="K101" s="257"/>
      <c r="L101" s="257"/>
      <c r="M101" s="257"/>
      <c r="N101" s="257"/>
      <c r="O101" s="257"/>
      <c r="P101" s="16"/>
      <c r="Q101" s="116"/>
      <c r="R101" s="116"/>
      <c r="S101" s="116"/>
      <c r="T101" s="135">
        <f t="shared" ref="T101:T103" si="10">P101+Q101+R101+S101</f>
        <v>0</v>
      </c>
    </row>
    <row r="102" spans="1:20" ht="9.75" customHeight="1" x14ac:dyDescent="0.2">
      <c r="A102" s="223"/>
      <c r="B102" s="263"/>
      <c r="C102" s="263"/>
      <c r="D102" s="263"/>
      <c r="E102" s="263"/>
      <c r="F102" s="263"/>
      <c r="G102" s="257" t="s">
        <v>244</v>
      </c>
      <c r="H102" s="257"/>
      <c r="I102" s="257"/>
      <c r="J102" s="257"/>
      <c r="K102" s="257"/>
      <c r="L102" s="257"/>
      <c r="M102" s="257"/>
      <c r="N102" s="257"/>
      <c r="O102" s="257"/>
      <c r="P102" s="16"/>
      <c r="Q102" s="116"/>
      <c r="R102" s="116"/>
      <c r="S102" s="116"/>
      <c r="T102" s="135">
        <f t="shared" si="10"/>
        <v>0</v>
      </c>
    </row>
    <row r="103" spans="1:20" ht="9.75" customHeight="1" x14ac:dyDescent="0.2">
      <c r="A103" s="223"/>
      <c r="B103" s="263"/>
      <c r="C103" s="263"/>
      <c r="D103" s="263"/>
      <c r="E103" s="263"/>
      <c r="F103" s="263"/>
      <c r="G103" s="257" t="s">
        <v>245</v>
      </c>
      <c r="H103" s="257"/>
      <c r="I103" s="257"/>
      <c r="J103" s="257"/>
      <c r="K103" s="257"/>
      <c r="L103" s="257"/>
      <c r="M103" s="257"/>
      <c r="N103" s="257"/>
      <c r="O103" s="257"/>
      <c r="P103" s="16"/>
      <c r="Q103" s="116"/>
      <c r="R103" s="116"/>
      <c r="S103" s="116"/>
      <c r="T103" s="135">
        <f t="shared" si="10"/>
        <v>0</v>
      </c>
    </row>
    <row r="104" spans="1:20" ht="9" customHeight="1" x14ac:dyDescent="0.2">
      <c r="A104" s="19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23"/>
      <c r="M104" s="23"/>
      <c r="N104" s="23"/>
      <c r="O104" s="23"/>
      <c r="P104" s="16"/>
      <c r="Q104" s="116"/>
      <c r="R104" s="136"/>
      <c r="S104" s="136"/>
      <c r="T104" s="137">
        <f>T100+T101+T102+T103</f>
        <v>40</v>
      </c>
    </row>
    <row r="105" spans="1:20" ht="9.75" customHeight="1" x14ac:dyDescent="0.2">
      <c r="A105" s="223" t="s">
        <v>246</v>
      </c>
      <c r="B105" s="262" t="s">
        <v>247</v>
      </c>
      <c r="C105" s="263"/>
      <c r="D105" s="263"/>
      <c r="E105" s="263"/>
      <c r="F105" s="263"/>
      <c r="G105" s="238" t="s">
        <v>248</v>
      </c>
      <c r="H105" s="238"/>
      <c r="I105" s="238"/>
      <c r="J105" s="238"/>
      <c r="K105" s="238"/>
      <c r="L105" s="238"/>
      <c r="M105" s="238"/>
      <c r="N105" s="238"/>
      <c r="O105" s="238"/>
      <c r="P105" s="16"/>
      <c r="Q105" s="116"/>
      <c r="R105" s="116"/>
      <c r="S105" s="116"/>
      <c r="T105" s="135">
        <f>P105+Q105+R105+S105</f>
        <v>0</v>
      </c>
    </row>
    <row r="106" spans="1:20" ht="9.75" customHeight="1" x14ac:dyDescent="0.2">
      <c r="A106" s="223"/>
      <c r="B106" s="263"/>
      <c r="C106" s="263"/>
      <c r="D106" s="263"/>
      <c r="E106" s="263"/>
      <c r="F106" s="263"/>
      <c r="G106" s="238" t="s">
        <v>249</v>
      </c>
      <c r="H106" s="238"/>
      <c r="I106" s="238"/>
      <c r="J106" s="238"/>
      <c r="K106" s="238"/>
      <c r="L106" s="238"/>
      <c r="M106" s="238"/>
      <c r="N106" s="238"/>
      <c r="O106" s="238"/>
      <c r="P106" s="16"/>
      <c r="Q106" s="116"/>
      <c r="R106" s="116"/>
      <c r="S106" s="116"/>
      <c r="T106" s="135">
        <f t="shared" ref="T106:T112" si="11">P106+Q106+R106+S106</f>
        <v>0</v>
      </c>
    </row>
    <row r="107" spans="1:20" ht="9.75" customHeight="1" x14ac:dyDescent="0.2">
      <c r="A107" s="223"/>
      <c r="B107" s="263"/>
      <c r="C107" s="263"/>
      <c r="D107" s="263"/>
      <c r="E107" s="263"/>
      <c r="F107" s="263"/>
      <c r="G107" s="238" t="s">
        <v>250</v>
      </c>
      <c r="H107" s="238"/>
      <c r="I107" s="238"/>
      <c r="J107" s="238"/>
      <c r="K107" s="238"/>
      <c r="L107" s="238"/>
      <c r="M107" s="238"/>
      <c r="N107" s="238"/>
      <c r="O107" s="238"/>
      <c r="P107" s="16"/>
      <c r="Q107" s="116"/>
      <c r="R107" s="116"/>
      <c r="S107" s="116"/>
      <c r="T107" s="135">
        <f t="shared" si="11"/>
        <v>0</v>
      </c>
    </row>
    <row r="108" spans="1:20" ht="9.75" customHeight="1" x14ac:dyDescent="0.2">
      <c r="A108" s="223"/>
      <c r="B108" s="263"/>
      <c r="C108" s="263"/>
      <c r="D108" s="263"/>
      <c r="E108" s="263"/>
      <c r="F108" s="263"/>
      <c r="G108" s="238" t="s">
        <v>251</v>
      </c>
      <c r="H108" s="238"/>
      <c r="I108" s="238"/>
      <c r="J108" s="238"/>
      <c r="K108" s="238"/>
      <c r="L108" s="238"/>
      <c r="M108" s="238"/>
      <c r="N108" s="238"/>
      <c r="O108" s="238"/>
      <c r="P108" s="16"/>
      <c r="Q108" s="116"/>
      <c r="R108" s="116"/>
      <c r="S108" s="116"/>
      <c r="T108" s="135">
        <f t="shared" si="11"/>
        <v>0</v>
      </c>
    </row>
    <row r="109" spans="1:20" ht="9.75" customHeight="1" x14ac:dyDescent="0.2">
      <c r="A109" s="223"/>
      <c r="B109" s="263"/>
      <c r="C109" s="263"/>
      <c r="D109" s="263"/>
      <c r="E109" s="263"/>
      <c r="F109" s="263"/>
      <c r="G109" s="238" t="s">
        <v>252</v>
      </c>
      <c r="H109" s="238"/>
      <c r="I109" s="238"/>
      <c r="J109" s="238"/>
      <c r="K109" s="238"/>
      <c r="L109" s="238"/>
      <c r="M109" s="238"/>
      <c r="N109" s="238"/>
      <c r="O109" s="238"/>
      <c r="P109" s="16"/>
      <c r="Q109" s="116"/>
      <c r="R109" s="116"/>
      <c r="S109" s="116"/>
      <c r="T109" s="135">
        <f t="shared" si="11"/>
        <v>0</v>
      </c>
    </row>
    <row r="110" spans="1:20" ht="9.75" customHeight="1" x14ac:dyDescent="0.2">
      <c r="A110" s="223"/>
      <c r="B110" s="263"/>
      <c r="C110" s="263"/>
      <c r="D110" s="263"/>
      <c r="E110" s="263"/>
      <c r="F110" s="263"/>
      <c r="G110" s="257" t="s">
        <v>253</v>
      </c>
      <c r="H110" s="257"/>
      <c r="I110" s="257"/>
      <c r="J110" s="257"/>
      <c r="K110" s="257"/>
      <c r="L110" s="257"/>
      <c r="M110" s="257"/>
      <c r="N110" s="257"/>
      <c r="O110" s="257"/>
      <c r="P110" s="16"/>
      <c r="Q110" s="116"/>
      <c r="R110" s="116"/>
      <c r="S110" s="116"/>
      <c r="T110" s="135">
        <f t="shared" si="11"/>
        <v>0</v>
      </c>
    </row>
    <row r="111" spans="1:20" ht="9.75" customHeight="1" x14ac:dyDescent="0.2">
      <c r="A111" s="223"/>
      <c r="B111" s="263"/>
      <c r="C111" s="263"/>
      <c r="D111" s="263"/>
      <c r="E111" s="263"/>
      <c r="F111" s="263"/>
      <c r="G111" s="257" t="s">
        <v>254</v>
      </c>
      <c r="H111" s="257"/>
      <c r="I111" s="257"/>
      <c r="J111" s="257"/>
      <c r="K111" s="257"/>
      <c r="L111" s="257"/>
      <c r="M111" s="257"/>
      <c r="N111" s="257"/>
      <c r="O111" s="257"/>
      <c r="P111" s="16"/>
      <c r="Q111" s="116"/>
      <c r="R111" s="116"/>
      <c r="S111" s="116"/>
      <c r="T111" s="135">
        <f t="shared" si="11"/>
        <v>0</v>
      </c>
    </row>
    <row r="112" spans="1:20" ht="9.75" customHeight="1" x14ac:dyDescent="0.2">
      <c r="A112" s="223"/>
      <c r="B112" s="263"/>
      <c r="C112" s="263"/>
      <c r="D112" s="263"/>
      <c r="E112" s="263"/>
      <c r="F112" s="263"/>
      <c r="G112" s="257" t="s">
        <v>255</v>
      </c>
      <c r="H112" s="257"/>
      <c r="I112" s="257"/>
      <c r="J112" s="257"/>
      <c r="K112" s="257"/>
      <c r="L112" s="257"/>
      <c r="M112" s="257"/>
      <c r="N112" s="257"/>
      <c r="O112" s="257"/>
      <c r="P112" s="16"/>
      <c r="Q112" s="116"/>
      <c r="R112" s="116"/>
      <c r="S112" s="116"/>
      <c r="T112" s="135">
        <f t="shared" si="11"/>
        <v>0</v>
      </c>
    </row>
    <row r="113" spans="1:20" ht="12" customHeight="1" x14ac:dyDescent="0.2">
      <c r="A113" s="19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23"/>
      <c r="M113" s="23"/>
      <c r="N113" s="23"/>
      <c r="O113" s="23"/>
      <c r="P113" s="16"/>
      <c r="Q113" s="116"/>
      <c r="R113" s="136"/>
      <c r="S113" s="136"/>
      <c r="T113" s="138">
        <f>T105+T106+T107+T108+T109+T110+T111+T112</f>
        <v>0</v>
      </c>
    </row>
    <row r="114" spans="1:20" ht="15" customHeight="1" x14ac:dyDescent="0.2">
      <c r="A114" s="223" t="s">
        <v>256</v>
      </c>
      <c r="B114" s="332" t="s">
        <v>257</v>
      </c>
      <c r="C114" s="332"/>
      <c r="D114" s="332"/>
      <c r="E114" s="332"/>
      <c r="F114" s="332"/>
      <c r="G114" s="238" t="s">
        <v>258</v>
      </c>
      <c r="H114" s="238"/>
      <c r="I114" s="238"/>
      <c r="J114" s="238"/>
      <c r="K114" s="238"/>
      <c r="L114" s="238"/>
      <c r="M114" s="238"/>
      <c r="N114" s="238"/>
      <c r="O114" s="238"/>
      <c r="P114" s="16">
        <v>250</v>
      </c>
      <c r="Q114" s="116"/>
      <c r="R114" s="116"/>
      <c r="S114" s="116"/>
      <c r="T114" s="135">
        <f>P114+Q114+R114+S114</f>
        <v>250</v>
      </c>
    </row>
    <row r="115" spans="1:20" ht="15" customHeight="1" x14ac:dyDescent="0.2">
      <c r="A115" s="244"/>
      <c r="B115" s="332"/>
      <c r="C115" s="332"/>
      <c r="D115" s="332"/>
      <c r="E115" s="332"/>
      <c r="F115" s="332"/>
      <c r="G115" s="238" t="s">
        <v>259</v>
      </c>
      <c r="H115" s="238"/>
      <c r="I115" s="238"/>
      <c r="J115" s="238"/>
      <c r="K115" s="238"/>
      <c r="L115" s="238"/>
      <c r="M115" s="238"/>
      <c r="N115" s="238"/>
      <c r="O115" s="238"/>
      <c r="P115" s="16"/>
      <c r="Q115" s="116"/>
      <c r="R115" s="116"/>
      <c r="S115" s="116"/>
      <c r="T115" s="139">
        <f>P115+Q115+R115+S116</f>
        <v>0</v>
      </c>
    </row>
    <row r="116" spans="1:20" ht="12" customHeight="1" x14ac:dyDescent="0.2">
      <c r="A116" s="87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109"/>
      <c r="M116" s="109"/>
      <c r="N116" s="109"/>
      <c r="O116" s="109"/>
      <c r="P116" s="110"/>
      <c r="Q116" s="140"/>
      <c r="R116" s="141"/>
      <c r="S116" s="142"/>
      <c r="T116" s="143">
        <f>T114+T115</f>
        <v>250</v>
      </c>
    </row>
    <row r="117" spans="1:20" ht="22.5" customHeight="1" x14ac:dyDescent="0.2">
      <c r="A117" s="258" t="s">
        <v>260</v>
      </c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60"/>
      <c r="T117" s="144">
        <f>T104+T113+T116</f>
        <v>290</v>
      </c>
    </row>
    <row r="118" spans="1:20" ht="15.75" customHeight="1" x14ac:dyDescent="0.2">
      <c r="A118" s="333" t="s">
        <v>261</v>
      </c>
      <c r="B118" s="261"/>
      <c r="C118" s="261"/>
      <c r="D118" s="261" t="s">
        <v>14</v>
      </c>
      <c r="E118" s="261"/>
      <c r="F118" s="261"/>
      <c r="G118" s="261"/>
      <c r="H118" s="261"/>
      <c r="I118" s="261"/>
      <c r="J118" s="261"/>
      <c r="K118" s="261"/>
      <c r="L118" s="261" t="s">
        <v>185</v>
      </c>
      <c r="M118" s="261"/>
      <c r="N118" s="226" t="s">
        <v>186</v>
      </c>
      <c r="O118" s="226"/>
      <c r="P118" s="240" t="s">
        <v>187</v>
      </c>
      <c r="Q118" s="240"/>
      <c r="R118" s="240" t="s">
        <v>188</v>
      </c>
      <c r="S118" s="240"/>
      <c r="T118" s="316" t="s">
        <v>165</v>
      </c>
    </row>
    <row r="119" spans="1:20" ht="18.75" customHeight="1" x14ac:dyDescent="0.2">
      <c r="A119" s="334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99" t="s">
        <v>216</v>
      </c>
      <c r="M119" s="99" t="s">
        <v>217</v>
      </c>
      <c r="N119" s="99" t="s">
        <v>216</v>
      </c>
      <c r="O119" s="99" t="s">
        <v>217</v>
      </c>
      <c r="P119" s="99" t="s">
        <v>216</v>
      </c>
      <c r="Q119" s="99" t="s">
        <v>217</v>
      </c>
      <c r="R119" s="99" t="s">
        <v>216</v>
      </c>
      <c r="S119" s="99" t="s">
        <v>217</v>
      </c>
      <c r="T119" s="315"/>
    </row>
    <row r="120" spans="1:20" ht="40.5" customHeight="1" x14ac:dyDescent="0.2">
      <c r="A120" s="19" t="s">
        <v>238</v>
      </c>
      <c r="B120" s="270" t="s">
        <v>262</v>
      </c>
      <c r="C120" s="271"/>
      <c r="D120" s="272" t="s">
        <v>263</v>
      </c>
      <c r="E120" s="262"/>
      <c r="F120" s="262"/>
      <c r="G120" s="262"/>
      <c r="H120" s="262"/>
      <c r="I120" s="262"/>
      <c r="J120" s="262"/>
      <c r="K120" s="262"/>
      <c r="L120" s="111"/>
      <c r="M120" s="111"/>
      <c r="N120" s="111"/>
      <c r="O120" s="111"/>
      <c r="P120" s="111"/>
      <c r="Q120" s="116"/>
      <c r="R120" s="116"/>
      <c r="S120" s="116"/>
      <c r="T120" s="135">
        <f>L120+M120+N120+O120+P120+Q120+R120+S120</f>
        <v>0</v>
      </c>
    </row>
    <row r="121" spans="1:20" ht="15.75" customHeight="1" x14ac:dyDescent="0.2">
      <c r="A121" s="273" t="s">
        <v>264</v>
      </c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89"/>
      <c r="T121" s="135">
        <f>L120+M120+N120+O120+P120+Q120+R120+S120</f>
        <v>0</v>
      </c>
    </row>
    <row r="122" spans="1:20" ht="17.25" customHeight="1" x14ac:dyDescent="0.2">
      <c r="A122" s="90" t="s">
        <v>265</v>
      </c>
      <c r="B122" s="91"/>
      <c r="C122" s="92"/>
      <c r="D122" s="93"/>
      <c r="E122" s="275" t="s">
        <v>184</v>
      </c>
      <c r="F122" s="276"/>
      <c r="G122" s="276"/>
      <c r="H122" s="276"/>
      <c r="I122" s="276"/>
      <c r="J122" s="276"/>
      <c r="K122" s="276"/>
      <c r="L122" s="276"/>
      <c r="M122" s="276"/>
      <c r="N122" s="276"/>
      <c r="O122" s="277"/>
      <c r="P122" s="49" t="s">
        <v>185</v>
      </c>
      <c r="Q122" s="49" t="s">
        <v>186</v>
      </c>
      <c r="R122" s="49" t="s">
        <v>187</v>
      </c>
      <c r="S122" s="49" t="s">
        <v>188</v>
      </c>
      <c r="T122" s="68" t="s">
        <v>165</v>
      </c>
    </row>
    <row r="123" spans="1:20" ht="12.75" customHeight="1" x14ac:dyDescent="0.2">
      <c r="A123" s="282" t="s">
        <v>71</v>
      </c>
      <c r="B123" s="329" t="s">
        <v>266</v>
      </c>
      <c r="C123" s="330"/>
      <c r="D123" s="330"/>
      <c r="E123" s="278" t="s">
        <v>219</v>
      </c>
      <c r="F123" s="278"/>
      <c r="G123" s="278"/>
      <c r="H123" s="278"/>
      <c r="I123" s="278"/>
      <c r="J123" s="278"/>
      <c r="K123" s="278"/>
      <c r="L123" s="278"/>
      <c r="M123" s="278"/>
      <c r="N123" s="278"/>
      <c r="O123" s="278"/>
      <c r="P123" s="112"/>
      <c r="Q123" s="145"/>
      <c r="R123" s="145"/>
      <c r="S123" s="145"/>
      <c r="T123" s="146"/>
    </row>
    <row r="124" spans="1:20" ht="12.75" customHeight="1" x14ac:dyDescent="0.2">
      <c r="A124" s="223"/>
      <c r="B124" s="331"/>
      <c r="C124" s="331"/>
      <c r="D124" s="331"/>
      <c r="E124" s="209" t="s">
        <v>267</v>
      </c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98"/>
      <c r="Q124" s="51"/>
      <c r="R124" s="51"/>
      <c r="S124" s="51"/>
      <c r="T124" s="74"/>
    </row>
    <row r="125" spans="1:20" ht="12.75" customHeight="1" x14ac:dyDescent="0.2">
      <c r="A125" s="223"/>
      <c r="B125" s="331"/>
      <c r="C125" s="331"/>
      <c r="D125" s="331"/>
      <c r="E125" s="209" t="s">
        <v>268</v>
      </c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98"/>
      <c r="Q125" s="51"/>
      <c r="R125" s="51"/>
      <c r="S125" s="51"/>
      <c r="T125" s="74"/>
    </row>
    <row r="126" spans="1:20" ht="21" customHeight="1" x14ac:dyDescent="0.2">
      <c r="A126" s="223"/>
      <c r="B126" s="331"/>
      <c r="C126" s="331"/>
      <c r="D126" s="331"/>
      <c r="E126" s="209" t="s">
        <v>269</v>
      </c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98"/>
      <c r="Q126" s="51"/>
      <c r="R126" s="51"/>
      <c r="S126" s="51"/>
      <c r="T126" s="74"/>
    </row>
    <row r="127" spans="1:20" ht="17.25" customHeight="1" x14ac:dyDescent="0.2">
      <c r="A127" s="76"/>
      <c r="B127" s="94"/>
      <c r="C127" s="94"/>
      <c r="D127" s="94"/>
      <c r="E127" s="81"/>
      <c r="F127" s="81"/>
      <c r="G127" s="81"/>
      <c r="H127" s="81"/>
      <c r="I127" s="81"/>
      <c r="J127" s="81"/>
      <c r="K127" s="81"/>
      <c r="L127" s="113"/>
      <c r="M127" s="113"/>
      <c r="N127" s="113"/>
      <c r="O127" s="113"/>
      <c r="P127" s="97">
        <f>P123+P124+P125+P126</f>
        <v>0</v>
      </c>
      <c r="Q127" s="97">
        <f>Q123+Q124+Q125+Q126</f>
        <v>0</v>
      </c>
      <c r="R127" s="97">
        <f>R123+R124+R125+R126</f>
        <v>0</v>
      </c>
      <c r="S127" s="97">
        <f>S123+S124+S125+S126</f>
        <v>0</v>
      </c>
      <c r="T127" s="147">
        <f>P127+Q127+R127+S127</f>
        <v>0</v>
      </c>
    </row>
    <row r="128" spans="1:20" ht="27.75" customHeight="1" x14ac:dyDescent="0.2">
      <c r="A128" s="95"/>
      <c r="B128" s="279" t="s">
        <v>270</v>
      </c>
      <c r="C128" s="280"/>
      <c r="D128" s="280"/>
      <c r="E128" s="280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1"/>
      <c r="Q128" s="281"/>
      <c r="R128" s="281"/>
      <c r="S128" s="148"/>
      <c r="T128" s="147">
        <f>P127:T127</f>
        <v>0</v>
      </c>
    </row>
    <row r="129" spans="1:20" ht="51.75" customHeight="1" x14ac:dyDescent="0.2">
      <c r="A129" s="283" t="s">
        <v>271</v>
      </c>
      <c r="B129" s="284"/>
      <c r="C129" s="284"/>
      <c r="D129" s="284"/>
      <c r="E129" s="264" t="s">
        <v>272</v>
      </c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151"/>
      <c r="Q129" s="151"/>
      <c r="R129" s="151"/>
      <c r="S129" s="151"/>
      <c r="T129" s="154">
        <f>P129+Q129+R129+S129</f>
        <v>0</v>
      </c>
    </row>
    <row r="130" spans="1:20" ht="22.5" customHeight="1" x14ac:dyDescent="0.2">
      <c r="A130" s="265" t="s">
        <v>273</v>
      </c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155">
        <f>T74+T98+T117+T121+T128</f>
        <v>470</v>
      </c>
    </row>
    <row r="131" spans="1:20" ht="23.25" customHeight="1" x14ac:dyDescent="0.2">
      <c r="A131" s="267" t="s">
        <v>274</v>
      </c>
      <c r="B131" s="268"/>
      <c r="C131" s="268"/>
      <c r="D131" s="268"/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3"/>
      <c r="T131" s="156"/>
    </row>
    <row r="132" spans="1:20" ht="32.25" customHeight="1" x14ac:dyDescent="0.2">
      <c r="A132" s="327" t="s">
        <v>275</v>
      </c>
      <c r="B132" s="220"/>
      <c r="C132" s="220"/>
      <c r="D132" s="220" t="s">
        <v>184</v>
      </c>
      <c r="E132" s="220"/>
      <c r="F132" s="220"/>
      <c r="G132" s="220"/>
      <c r="H132" s="220"/>
      <c r="I132" s="220"/>
      <c r="J132" s="220"/>
      <c r="K132" s="220"/>
      <c r="L132" s="220" t="s">
        <v>185</v>
      </c>
      <c r="M132" s="220"/>
      <c r="N132" s="226" t="s">
        <v>186</v>
      </c>
      <c r="O132" s="226"/>
      <c r="P132" s="240" t="s">
        <v>187</v>
      </c>
      <c r="Q132" s="240"/>
      <c r="R132" s="240" t="s">
        <v>188</v>
      </c>
      <c r="S132" s="240"/>
      <c r="T132" s="316" t="s">
        <v>165</v>
      </c>
    </row>
    <row r="133" spans="1:20" ht="23.25" customHeight="1" x14ac:dyDescent="0.2">
      <c r="A133" s="328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152" t="s">
        <v>216</v>
      </c>
      <c r="M133" s="152" t="s">
        <v>217</v>
      </c>
      <c r="N133" s="152" t="s">
        <v>216</v>
      </c>
      <c r="O133" s="152" t="s">
        <v>217</v>
      </c>
      <c r="P133" s="152" t="s">
        <v>216</v>
      </c>
      <c r="Q133" s="152" t="s">
        <v>217</v>
      </c>
      <c r="R133" s="152" t="s">
        <v>216</v>
      </c>
      <c r="S133" s="152" t="s">
        <v>217</v>
      </c>
      <c r="T133" s="317"/>
    </row>
    <row r="134" spans="1:20" ht="18.75" customHeight="1" x14ac:dyDescent="0.2">
      <c r="A134" s="243" t="s">
        <v>276</v>
      </c>
      <c r="B134" s="324" t="s">
        <v>277</v>
      </c>
      <c r="C134" s="325"/>
      <c r="D134" s="269" t="s">
        <v>240</v>
      </c>
      <c r="E134" s="269"/>
      <c r="F134" s="269"/>
      <c r="G134" s="269"/>
      <c r="H134" s="269"/>
      <c r="I134" s="269"/>
      <c r="J134" s="269"/>
      <c r="K134" s="269"/>
      <c r="L134" s="102"/>
      <c r="M134" s="102"/>
      <c r="N134" s="102"/>
      <c r="O134" s="102"/>
      <c r="P134" s="102"/>
      <c r="Q134" s="126"/>
      <c r="R134" s="126"/>
      <c r="S134" s="126"/>
      <c r="T134" s="128">
        <f>L134+M134+N134+O134+P134+Q134+R134+S134</f>
        <v>0</v>
      </c>
    </row>
    <row r="135" spans="1:20" ht="18.75" customHeight="1" x14ac:dyDescent="0.2">
      <c r="A135" s="244"/>
      <c r="B135" s="326"/>
      <c r="C135" s="326"/>
      <c r="D135" s="286" t="s">
        <v>278</v>
      </c>
      <c r="E135" s="286"/>
      <c r="F135" s="286"/>
      <c r="G135" s="286"/>
      <c r="H135" s="286"/>
      <c r="I135" s="286"/>
      <c r="J135" s="286"/>
      <c r="K135" s="286"/>
      <c r="L135" s="104"/>
      <c r="M135" s="104"/>
      <c r="N135" s="96"/>
      <c r="O135" s="96"/>
      <c r="P135" s="96"/>
      <c r="Q135" s="118"/>
      <c r="R135" s="118"/>
      <c r="S135" s="118"/>
      <c r="T135" s="128">
        <f>L135+M135+N135+O135+P135+Q135+R135+S135</f>
        <v>0</v>
      </c>
    </row>
    <row r="136" spans="1:20" ht="4.5" customHeight="1" x14ac:dyDescent="0.2">
      <c r="A136" s="76"/>
      <c r="B136" s="94"/>
      <c r="C136" s="94"/>
      <c r="D136" s="81"/>
      <c r="E136" s="81"/>
      <c r="F136" s="81"/>
      <c r="G136" s="81"/>
      <c r="H136" s="81"/>
      <c r="I136" s="81"/>
      <c r="J136" s="81"/>
      <c r="K136" s="81"/>
      <c r="L136" s="153"/>
      <c r="M136" s="153"/>
      <c r="N136" s="97"/>
      <c r="O136" s="97"/>
      <c r="P136" s="97"/>
      <c r="Q136" s="120"/>
      <c r="R136" s="120"/>
      <c r="S136" s="120"/>
      <c r="T136" s="157">
        <f>T134+T135</f>
        <v>0</v>
      </c>
    </row>
    <row r="137" spans="1:20" ht="4.5" customHeight="1" x14ac:dyDescent="0.2">
      <c r="A137" s="87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110"/>
      <c r="M137" s="110"/>
      <c r="N137" s="110"/>
      <c r="O137" s="110"/>
      <c r="P137" s="110"/>
      <c r="Q137" s="140"/>
      <c r="R137" s="140"/>
      <c r="S137" s="140"/>
      <c r="T137" s="158" t="e">
        <f>#REF!+#REF!+#REF!</f>
        <v>#REF!</v>
      </c>
    </row>
    <row r="138" spans="1:20" ht="22.5" customHeight="1" x14ac:dyDescent="0.2">
      <c r="A138" s="258" t="s">
        <v>279</v>
      </c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87"/>
      <c r="T138" s="159">
        <f>T136</f>
        <v>0</v>
      </c>
    </row>
    <row r="139" spans="1:20" ht="20.25" customHeight="1" x14ac:dyDescent="0.2">
      <c r="A139" s="288" t="s">
        <v>280</v>
      </c>
      <c r="B139" s="289"/>
      <c r="C139" s="289"/>
      <c r="D139" s="289"/>
      <c r="E139" s="289"/>
      <c r="F139" s="289"/>
      <c r="G139" s="289" t="s">
        <v>184</v>
      </c>
      <c r="H139" s="289"/>
      <c r="I139" s="289"/>
      <c r="J139" s="289"/>
      <c r="K139" s="289"/>
      <c r="L139" s="289"/>
      <c r="M139" s="289"/>
      <c r="N139" s="289"/>
      <c r="O139" s="289"/>
      <c r="P139" s="50" t="s">
        <v>185</v>
      </c>
      <c r="Q139" s="50" t="s">
        <v>186</v>
      </c>
      <c r="R139" s="50" t="s">
        <v>187</v>
      </c>
      <c r="S139" s="50" t="s">
        <v>188</v>
      </c>
      <c r="T139" s="69" t="s">
        <v>165</v>
      </c>
    </row>
    <row r="140" spans="1:20" x14ac:dyDescent="0.2">
      <c r="A140" s="19" t="s">
        <v>276</v>
      </c>
      <c r="B140" s="290" t="s">
        <v>126</v>
      </c>
      <c r="C140" s="290"/>
      <c r="D140" s="290"/>
      <c r="E140" s="290"/>
      <c r="F140" s="290"/>
      <c r="G140" s="257" t="s">
        <v>281</v>
      </c>
      <c r="H140" s="257"/>
      <c r="I140" s="257"/>
      <c r="J140" s="257"/>
      <c r="K140" s="257"/>
      <c r="L140" s="257"/>
      <c r="M140" s="257"/>
      <c r="N140" s="257"/>
      <c r="O140" s="257"/>
      <c r="P140" s="16"/>
      <c r="Q140" s="116"/>
      <c r="R140" s="116"/>
      <c r="S140" s="116"/>
      <c r="T140" s="128">
        <f>P140+Q140+R140+S140</f>
        <v>0</v>
      </c>
    </row>
    <row r="141" spans="1:20" ht="25.5" customHeight="1" x14ac:dyDescent="0.2">
      <c r="A141" s="19" t="s">
        <v>282</v>
      </c>
      <c r="B141" s="291" t="s">
        <v>129</v>
      </c>
      <c r="C141" s="291"/>
      <c r="D141" s="291"/>
      <c r="E141" s="291"/>
      <c r="F141" s="291"/>
      <c r="G141" s="209" t="s">
        <v>281</v>
      </c>
      <c r="H141" s="209"/>
      <c r="I141" s="209"/>
      <c r="J141" s="209"/>
      <c r="K141" s="209"/>
      <c r="L141" s="209"/>
      <c r="M141" s="209"/>
      <c r="N141" s="209"/>
      <c r="O141" s="209"/>
      <c r="P141" s="16"/>
      <c r="Q141" s="116"/>
      <c r="R141" s="116"/>
      <c r="S141" s="116"/>
      <c r="T141" s="160">
        <f>P141+Q141+R141+S141</f>
        <v>0</v>
      </c>
    </row>
    <row r="142" spans="1:20" ht="25.5" customHeight="1" x14ac:dyDescent="0.2">
      <c r="A142" s="19" t="s">
        <v>283</v>
      </c>
      <c r="B142" s="224" t="s">
        <v>131</v>
      </c>
      <c r="C142" s="224"/>
      <c r="D142" s="224"/>
      <c r="E142" s="224"/>
      <c r="F142" s="224"/>
      <c r="G142" s="209" t="s">
        <v>281</v>
      </c>
      <c r="H142" s="209"/>
      <c r="I142" s="209"/>
      <c r="J142" s="209"/>
      <c r="K142" s="209"/>
      <c r="L142" s="209"/>
      <c r="M142" s="209"/>
      <c r="N142" s="209"/>
      <c r="O142" s="209"/>
      <c r="P142" s="16"/>
      <c r="Q142" s="116"/>
      <c r="R142" s="116"/>
      <c r="S142" s="116"/>
      <c r="T142" s="160">
        <f>P142+Q142+R142+S142</f>
        <v>0</v>
      </c>
    </row>
    <row r="143" spans="1:20" ht="25.5" customHeight="1" x14ac:dyDescent="0.2">
      <c r="A143" s="19" t="s">
        <v>284</v>
      </c>
      <c r="B143" s="224" t="s">
        <v>133</v>
      </c>
      <c r="C143" s="224"/>
      <c r="D143" s="224"/>
      <c r="E143" s="224"/>
      <c r="F143" s="224"/>
      <c r="G143" s="209" t="s">
        <v>281</v>
      </c>
      <c r="H143" s="209"/>
      <c r="I143" s="209"/>
      <c r="J143" s="209"/>
      <c r="K143" s="209"/>
      <c r="L143" s="209"/>
      <c r="M143" s="209"/>
      <c r="N143" s="209"/>
      <c r="O143" s="209"/>
      <c r="P143" s="16"/>
      <c r="Q143" s="116"/>
      <c r="R143" s="116"/>
      <c r="S143" s="116"/>
      <c r="T143" s="160">
        <f t="shared" ref="T143:T148" si="12">P143+Q143+R143+S143</f>
        <v>0</v>
      </c>
    </row>
    <row r="144" spans="1:20" ht="25.5" customHeight="1" x14ac:dyDescent="0.2">
      <c r="A144" s="19" t="s">
        <v>285</v>
      </c>
      <c r="B144" s="291" t="s">
        <v>135</v>
      </c>
      <c r="C144" s="291"/>
      <c r="D144" s="291"/>
      <c r="E144" s="291"/>
      <c r="F144" s="291"/>
      <c r="G144" s="209" t="s">
        <v>281</v>
      </c>
      <c r="H144" s="209"/>
      <c r="I144" s="209"/>
      <c r="J144" s="209"/>
      <c r="K144" s="209"/>
      <c r="L144" s="209"/>
      <c r="M144" s="209"/>
      <c r="N144" s="209"/>
      <c r="O144" s="209"/>
      <c r="P144" s="16"/>
      <c r="Q144" s="116"/>
      <c r="R144" s="116"/>
      <c r="S144" s="116"/>
      <c r="T144" s="160">
        <f t="shared" si="12"/>
        <v>0</v>
      </c>
    </row>
    <row r="145" spans="1:20" ht="15" customHeight="1" x14ac:dyDescent="0.2">
      <c r="A145" s="223" t="s">
        <v>286</v>
      </c>
      <c r="B145" s="224" t="s">
        <v>287</v>
      </c>
      <c r="C145" s="224"/>
      <c r="D145" s="224"/>
      <c r="E145" s="224"/>
      <c r="F145" s="224"/>
      <c r="G145" s="257" t="s">
        <v>288</v>
      </c>
      <c r="H145" s="257"/>
      <c r="I145" s="257"/>
      <c r="J145" s="257"/>
      <c r="K145" s="257"/>
      <c r="L145" s="257"/>
      <c r="M145" s="257"/>
      <c r="N145" s="257"/>
      <c r="O145" s="257"/>
      <c r="P145" s="16"/>
      <c r="Q145" s="116"/>
      <c r="R145" s="116"/>
      <c r="S145" s="116"/>
      <c r="T145" s="160">
        <f t="shared" si="12"/>
        <v>0</v>
      </c>
    </row>
    <row r="146" spans="1:20" ht="15" customHeight="1" x14ac:dyDescent="0.2">
      <c r="A146" s="223"/>
      <c r="B146" s="224"/>
      <c r="C146" s="224"/>
      <c r="D146" s="224"/>
      <c r="E146" s="224"/>
      <c r="F146" s="224"/>
      <c r="G146" s="257" t="s">
        <v>289</v>
      </c>
      <c r="H146" s="257"/>
      <c r="I146" s="257"/>
      <c r="J146" s="257"/>
      <c r="K146" s="257"/>
      <c r="L146" s="257"/>
      <c r="M146" s="257"/>
      <c r="N146" s="257"/>
      <c r="O146" s="257"/>
      <c r="P146" s="16"/>
      <c r="Q146" s="116"/>
      <c r="R146" s="116"/>
      <c r="S146" s="116"/>
      <c r="T146" s="160">
        <f t="shared" si="12"/>
        <v>0</v>
      </c>
    </row>
    <row r="147" spans="1:20" ht="15" customHeight="1" x14ac:dyDescent="0.2">
      <c r="A147" s="223"/>
      <c r="B147" s="224"/>
      <c r="C147" s="224"/>
      <c r="D147" s="224"/>
      <c r="E147" s="224"/>
      <c r="F147" s="224"/>
      <c r="G147" s="257" t="s">
        <v>290</v>
      </c>
      <c r="H147" s="257"/>
      <c r="I147" s="257"/>
      <c r="J147" s="257"/>
      <c r="K147" s="257"/>
      <c r="L147" s="257"/>
      <c r="M147" s="257"/>
      <c r="N147" s="257"/>
      <c r="O147" s="257"/>
      <c r="P147" s="16"/>
      <c r="Q147" s="116"/>
      <c r="R147" s="116"/>
      <c r="S147" s="116"/>
      <c r="T147" s="160">
        <f t="shared" si="12"/>
        <v>0</v>
      </c>
    </row>
    <row r="148" spans="1:20" ht="15" customHeight="1" x14ac:dyDescent="0.2">
      <c r="A148" s="223"/>
      <c r="B148" s="224"/>
      <c r="C148" s="224"/>
      <c r="D148" s="224"/>
      <c r="E148" s="224"/>
      <c r="F148" s="224"/>
      <c r="G148" s="257" t="s">
        <v>291</v>
      </c>
      <c r="H148" s="257"/>
      <c r="I148" s="257"/>
      <c r="J148" s="257"/>
      <c r="K148" s="257"/>
      <c r="L148" s="257"/>
      <c r="M148" s="257"/>
      <c r="N148" s="257"/>
      <c r="O148" s="257"/>
      <c r="P148" s="16"/>
      <c r="Q148" s="116"/>
      <c r="R148" s="116"/>
      <c r="S148" s="116"/>
      <c r="T148" s="160">
        <f t="shared" si="12"/>
        <v>0</v>
      </c>
    </row>
    <row r="149" spans="1:20" ht="10.5" customHeight="1" x14ac:dyDescent="0.2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3"/>
      <c r="M149" s="23"/>
      <c r="N149" s="23"/>
      <c r="O149" s="23"/>
      <c r="P149" s="16"/>
      <c r="Q149" s="116"/>
      <c r="R149" s="116"/>
      <c r="S149" s="116"/>
      <c r="T149" s="160"/>
    </row>
    <row r="150" spans="1:20" ht="21.75" customHeight="1" x14ac:dyDescent="0.2">
      <c r="A150" s="149" t="s">
        <v>292</v>
      </c>
      <c r="B150" s="285" t="s">
        <v>143</v>
      </c>
      <c r="C150" s="285"/>
      <c r="D150" s="285"/>
      <c r="E150" s="285"/>
      <c r="F150" s="285"/>
      <c r="G150" s="286" t="s">
        <v>281</v>
      </c>
      <c r="H150" s="286"/>
      <c r="I150" s="286"/>
      <c r="J150" s="286"/>
      <c r="K150" s="286"/>
      <c r="L150" s="286"/>
      <c r="M150" s="286"/>
      <c r="N150" s="286"/>
      <c r="O150" s="286"/>
      <c r="P150" s="96"/>
      <c r="Q150" s="118"/>
      <c r="R150" s="118"/>
      <c r="S150" s="118"/>
      <c r="T150" s="161">
        <f>P150+Q150+R150+S150</f>
        <v>0</v>
      </c>
    </row>
    <row r="151" spans="1:20" ht="21" customHeight="1" x14ac:dyDescent="0.2">
      <c r="A151" s="335" t="s">
        <v>293</v>
      </c>
      <c r="B151" s="336"/>
      <c r="C151" s="336"/>
      <c r="D151" s="336"/>
      <c r="E151" s="336"/>
      <c r="F151" s="336"/>
      <c r="G151" s="336"/>
      <c r="H151" s="336"/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150"/>
      <c r="T151" s="162">
        <f>T140+T141+T142+T143+T144+T145+T146+T147+T148+T150</f>
        <v>0</v>
      </c>
    </row>
    <row r="152" spans="1:20" x14ac:dyDescent="0.2">
      <c r="A152" s="337" t="s">
        <v>294</v>
      </c>
      <c r="B152" s="338"/>
      <c r="C152" s="338"/>
      <c r="D152" s="338"/>
      <c r="E152" s="338"/>
      <c r="F152" s="338"/>
      <c r="G152" s="339" t="s">
        <v>184</v>
      </c>
      <c r="H152" s="339"/>
      <c r="I152" s="339"/>
      <c r="J152" s="339"/>
      <c r="K152" s="339"/>
      <c r="L152" s="339"/>
      <c r="M152" s="339"/>
      <c r="N152" s="339"/>
      <c r="O152" s="339"/>
      <c r="P152" s="49" t="s">
        <v>185</v>
      </c>
      <c r="Q152" s="49" t="s">
        <v>186</v>
      </c>
      <c r="R152" s="49" t="s">
        <v>187</v>
      </c>
      <c r="S152" s="49" t="s">
        <v>188</v>
      </c>
      <c r="T152" s="163" t="s">
        <v>171</v>
      </c>
    </row>
    <row r="153" spans="1:20" ht="15.75" customHeight="1" x14ac:dyDescent="0.2">
      <c r="A153" s="25" t="s">
        <v>276</v>
      </c>
      <c r="B153" s="340" t="s">
        <v>145</v>
      </c>
      <c r="C153" s="341"/>
      <c r="D153" s="341"/>
      <c r="E153" s="341"/>
      <c r="F153" s="342"/>
      <c r="G153" s="269" t="s">
        <v>295</v>
      </c>
      <c r="H153" s="269"/>
      <c r="I153" s="269"/>
      <c r="J153" s="269"/>
      <c r="K153" s="269"/>
      <c r="L153" s="269"/>
      <c r="M153" s="269"/>
      <c r="N153" s="269"/>
      <c r="O153" s="269"/>
      <c r="P153" s="102"/>
      <c r="Q153" s="126"/>
      <c r="R153" s="126"/>
      <c r="S153" s="126"/>
      <c r="T153" s="128">
        <f>P153+Q153+R153+S153</f>
        <v>0</v>
      </c>
    </row>
    <row r="154" spans="1:20" ht="19.5" customHeight="1" x14ac:dyDescent="0.2">
      <c r="A154" s="28" t="s">
        <v>282</v>
      </c>
      <c r="B154" s="343" t="s">
        <v>148</v>
      </c>
      <c r="C154" s="343"/>
      <c r="D154" s="343"/>
      <c r="E154" s="343"/>
      <c r="F154" s="343"/>
      <c r="G154" s="344" t="s">
        <v>296</v>
      </c>
      <c r="H154" s="344"/>
      <c r="I154" s="344"/>
      <c r="J154" s="344"/>
      <c r="K154" s="344"/>
      <c r="L154" s="344"/>
      <c r="M154" s="344"/>
      <c r="N154" s="344"/>
      <c r="O154" s="344"/>
      <c r="P154" s="96"/>
      <c r="Q154" s="118"/>
      <c r="R154" s="118"/>
      <c r="S154" s="118"/>
      <c r="T154" s="130">
        <f t="shared" ref="T154" si="13">P154+Q154+R154+S154</f>
        <v>0</v>
      </c>
    </row>
    <row r="155" spans="1:20" ht="15.75" customHeight="1" x14ac:dyDescent="0.2">
      <c r="A155" s="345" t="s">
        <v>297</v>
      </c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162">
        <f>T153+T154</f>
        <v>0</v>
      </c>
    </row>
    <row r="156" spans="1:20" ht="15.75" customHeight="1" x14ac:dyDescent="0.2">
      <c r="A156" s="347" t="s">
        <v>298</v>
      </c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135">
        <f>T138+T151++T155</f>
        <v>0</v>
      </c>
    </row>
    <row r="157" spans="1:20" ht="15.75" customHeight="1" x14ac:dyDescent="0.2">
      <c r="A157" s="318" t="s">
        <v>152</v>
      </c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8">
        <f>T35+T130+T156</f>
        <v>592</v>
      </c>
      <c r="T157" s="322"/>
    </row>
    <row r="158" spans="1:20" ht="21.75" customHeight="1" x14ac:dyDescent="0.2">
      <c r="A158" s="320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0"/>
      <c r="T158" s="323"/>
    </row>
  </sheetData>
  <mergeCells count="263">
    <mergeCell ref="B94:C95"/>
    <mergeCell ref="D94:K95"/>
    <mergeCell ref="B89:C92"/>
    <mergeCell ref="B83:C87"/>
    <mergeCell ref="B77:C81"/>
    <mergeCell ref="A75:C76"/>
    <mergeCell ref="D75:K76"/>
    <mergeCell ref="B69:I72"/>
    <mergeCell ref="B25:B26"/>
    <mergeCell ref="B27:B28"/>
    <mergeCell ref="B29:B30"/>
    <mergeCell ref="B31:B33"/>
    <mergeCell ref="J51:O51"/>
    <mergeCell ref="J52:O52"/>
    <mergeCell ref="J53:O53"/>
    <mergeCell ref="J54:O54"/>
    <mergeCell ref="A83:A87"/>
    <mergeCell ref="A89:A92"/>
    <mergeCell ref="T132:T133"/>
    <mergeCell ref="A157:R158"/>
    <mergeCell ref="S157:T158"/>
    <mergeCell ref="B145:F148"/>
    <mergeCell ref="B134:C135"/>
    <mergeCell ref="A132:C133"/>
    <mergeCell ref="D132:K133"/>
    <mergeCell ref="B123:D126"/>
    <mergeCell ref="B114:F115"/>
    <mergeCell ref="A118:C119"/>
    <mergeCell ref="D118:K119"/>
    <mergeCell ref="A151:R151"/>
    <mergeCell ref="A152:F152"/>
    <mergeCell ref="G152:O152"/>
    <mergeCell ref="B153:F153"/>
    <mergeCell ref="G153:O153"/>
    <mergeCell ref="B154:F154"/>
    <mergeCell ref="G154:O154"/>
    <mergeCell ref="A155:S155"/>
    <mergeCell ref="A156:S156"/>
    <mergeCell ref="B143:F143"/>
    <mergeCell ref="G143:O143"/>
    <mergeCell ref="B144:F144"/>
    <mergeCell ref="G144:O144"/>
    <mergeCell ref="T17:T18"/>
    <mergeCell ref="T19:T21"/>
    <mergeCell ref="T23:T24"/>
    <mergeCell ref="T25:T26"/>
    <mergeCell ref="T27:T28"/>
    <mergeCell ref="T29:T30"/>
    <mergeCell ref="T31:T33"/>
    <mergeCell ref="T75:T76"/>
    <mergeCell ref="T118:T119"/>
    <mergeCell ref="A94:A95"/>
    <mergeCell ref="A101:A103"/>
    <mergeCell ref="G101:O101"/>
    <mergeCell ref="G102:O102"/>
    <mergeCell ref="G103:O103"/>
    <mergeCell ref="D80:K80"/>
    <mergeCell ref="D81:K81"/>
    <mergeCell ref="D83:K83"/>
    <mergeCell ref="D84:K84"/>
    <mergeCell ref="D85:K85"/>
    <mergeCell ref="D86:K86"/>
    <mergeCell ref="D87:K87"/>
    <mergeCell ref="D89:K89"/>
    <mergeCell ref="D90:K90"/>
    <mergeCell ref="D91:K91"/>
    <mergeCell ref="D92:K92"/>
    <mergeCell ref="B97:C97"/>
    <mergeCell ref="D97:K97"/>
    <mergeCell ref="A98:R98"/>
    <mergeCell ref="A99:F99"/>
    <mergeCell ref="G99:O99"/>
    <mergeCell ref="B100:F100"/>
    <mergeCell ref="G100:O100"/>
    <mergeCell ref="B101:F103"/>
    <mergeCell ref="A25:A26"/>
    <mergeCell ref="A27:A28"/>
    <mergeCell ref="A29:A30"/>
    <mergeCell ref="A31:A33"/>
    <mergeCell ref="A38:A43"/>
    <mergeCell ref="A45:A49"/>
    <mergeCell ref="A51:A55"/>
    <mergeCell ref="A57:A61"/>
    <mergeCell ref="A63:A67"/>
    <mergeCell ref="G145:O145"/>
    <mergeCell ref="G146:O146"/>
    <mergeCell ref="G147:O147"/>
    <mergeCell ref="G148:O148"/>
    <mergeCell ref="B150:F150"/>
    <mergeCell ref="G150:O150"/>
    <mergeCell ref="D135:K135"/>
    <mergeCell ref="A138:S138"/>
    <mergeCell ref="A139:F139"/>
    <mergeCell ref="G139:O139"/>
    <mergeCell ref="B140:F140"/>
    <mergeCell ref="G140:O140"/>
    <mergeCell ref="B141:F141"/>
    <mergeCell ref="G141:O141"/>
    <mergeCell ref="B142:F142"/>
    <mergeCell ref="G142:O142"/>
    <mergeCell ref="A134:A135"/>
    <mergeCell ref="A145:A148"/>
    <mergeCell ref="E129:O129"/>
    <mergeCell ref="A130:S130"/>
    <mergeCell ref="A131:R131"/>
    <mergeCell ref="L132:M132"/>
    <mergeCell ref="N132:O132"/>
    <mergeCell ref="P132:Q132"/>
    <mergeCell ref="R132:S132"/>
    <mergeCell ref="D134:K134"/>
    <mergeCell ref="B120:C120"/>
    <mergeCell ref="D120:K120"/>
    <mergeCell ref="A121:R121"/>
    <mergeCell ref="E122:O122"/>
    <mergeCell ref="E123:O123"/>
    <mergeCell ref="E124:O124"/>
    <mergeCell ref="E125:O125"/>
    <mergeCell ref="E126:O126"/>
    <mergeCell ref="B128:R128"/>
    <mergeCell ref="A123:A126"/>
    <mergeCell ref="A129:D129"/>
    <mergeCell ref="G111:O111"/>
    <mergeCell ref="G112:O112"/>
    <mergeCell ref="G114:O114"/>
    <mergeCell ref="G115:O115"/>
    <mergeCell ref="A117:S117"/>
    <mergeCell ref="L118:M118"/>
    <mergeCell ref="N118:O118"/>
    <mergeCell ref="P118:Q118"/>
    <mergeCell ref="R118:S118"/>
    <mergeCell ref="B105:F112"/>
    <mergeCell ref="G105:O105"/>
    <mergeCell ref="G106:O106"/>
    <mergeCell ref="G107:O107"/>
    <mergeCell ref="G108:O108"/>
    <mergeCell ref="G109:O109"/>
    <mergeCell ref="G110:O110"/>
    <mergeCell ref="A105:A112"/>
    <mergeCell ref="A114:A115"/>
    <mergeCell ref="N75:O75"/>
    <mergeCell ref="P75:Q75"/>
    <mergeCell ref="R75:S75"/>
    <mergeCell ref="D77:K77"/>
    <mergeCell ref="D78:K78"/>
    <mergeCell ref="D79:K79"/>
    <mergeCell ref="A69:A72"/>
    <mergeCell ref="A77:A81"/>
    <mergeCell ref="J61:O61"/>
    <mergeCell ref="J63:O63"/>
    <mergeCell ref="J64:O64"/>
    <mergeCell ref="J65:O65"/>
    <mergeCell ref="J66:O66"/>
    <mergeCell ref="J67:O67"/>
    <mergeCell ref="J69:O69"/>
    <mergeCell ref="J70:O70"/>
    <mergeCell ref="J71:O71"/>
    <mergeCell ref="J72:O72"/>
    <mergeCell ref="A74:S74"/>
    <mergeCell ref="L75:M75"/>
    <mergeCell ref="B63:I67"/>
    <mergeCell ref="B57:I61"/>
    <mergeCell ref="J60:O60"/>
    <mergeCell ref="J40:O40"/>
    <mergeCell ref="J41:O41"/>
    <mergeCell ref="J42:O42"/>
    <mergeCell ref="J43:O43"/>
    <mergeCell ref="J45:O45"/>
    <mergeCell ref="J46:O46"/>
    <mergeCell ref="J47:O47"/>
    <mergeCell ref="J48:O48"/>
    <mergeCell ref="J49:O49"/>
    <mergeCell ref="A34:S34"/>
    <mergeCell ref="A35:S35"/>
    <mergeCell ref="J37:O37"/>
    <mergeCell ref="J38:O38"/>
    <mergeCell ref="J39:O39"/>
    <mergeCell ref="J55:O55"/>
    <mergeCell ref="J57:O57"/>
    <mergeCell ref="J58:O58"/>
    <mergeCell ref="J59:O59"/>
    <mergeCell ref="B51:I55"/>
    <mergeCell ref="B45:I49"/>
    <mergeCell ref="B38:I43"/>
    <mergeCell ref="D31:G31"/>
    <mergeCell ref="H31:K31"/>
    <mergeCell ref="L31:O31"/>
    <mergeCell ref="P31:S31"/>
    <mergeCell ref="D32:G32"/>
    <mergeCell ref="H32:K32"/>
    <mergeCell ref="L32:O32"/>
    <mergeCell ref="P32:S32"/>
    <mergeCell ref="D33:G33"/>
    <mergeCell ref="H33:K33"/>
    <mergeCell ref="L33:O33"/>
    <mergeCell ref="P33:S33"/>
    <mergeCell ref="D28:G28"/>
    <mergeCell ref="H28:K28"/>
    <mergeCell ref="L28:O28"/>
    <mergeCell ref="P28:S28"/>
    <mergeCell ref="D29:G29"/>
    <mergeCell ref="H29:K29"/>
    <mergeCell ref="L29:O29"/>
    <mergeCell ref="P29:S29"/>
    <mergeCell ref="D30:G30"/>
    <mergeCell ref="H30:K30"/>
    <mergeCell ref="L30:O30"/>
    <mergeCell ref="P30:S30"/>
    <mergeCell ref="D25:G25"/>
    <mergeCell ref="H25:K25"/>
    <mergeCell ref="L25:O25"/>
    <mergeCell ref="P25:S25"/>
    <mergeCell ref="D26:G26"/>
    <mergeCell ref="H26:K26"/>
    <mergeCell ref="L26:O26"/>
    <mergeCell ref="P26:S26"/>
    <mergeCell ref="D27:G27"/>
    <mergeCell ref="H27:K27"/>
    <mergeCell ref="L27:O27"/>
    <mergeCell ref="P27:S27"/>
    <mergeCell ref="D17:G17"/>
    <mergeCell ref="H17:K17"/>
    <mergeCell ref="L17:O17"/>
    <mergeCell ref="P17:S17"/>
    <mergeCell ref="A22:R22"/>
    <mergeCell ref="D23:G23"/>
    <mergeCell ref="H23:K23"/>
    <mergeCell ref="L23:O23"/>
    <mergeCell ref="P23:S23"/>
    <mergeCell ref="A19:A21"/>
    <mergeCell ref="B19:B21"/>
    <mergeCell ref="K19:K21"/>
    <mergeCell ref="O19:O21"/>
    <mergeCell ref="S19:S21"/>
    <mergeCell ref="C17:C18"/>
    <mergeCell ref="C23:C24"/>
    <mergeCell ref="G19:G21"/>
    <mergeCell ref="D24:G24"/>
    <mergeCell ref="H24:K24"/>
    <mergeCell ref="L24:O24"/>
    <mergeCell ref="P24:S24"/>
    <mergeCell ref="A23:B24"/>
    <mergeCell ref="A17:B18"/>
    <mergeCell ref="B1:T1"/>
    <mergeCell ref="A3:T3"/>
    <mergeCell ref="A4:T4"/>
    <mergeCell ref="B5:T5"/>
    <mergeCell ref="A9:T9"/>
    <mergeCell ref="D10:H10"/>
    <mergeCell ref="I10:M10"/>
    <mergeCell ref="O10:S10"/>
    <mergeCell ref="A16:R16"/>
    <mergeCell ref="A10:A11"/>
    <mergeCell ref="A12:A13"/>
    <mergeCell ref="A14:A15"/>
    <mergeCell ref="B10:B11"/>
    <mergeCell ref="B12:B13"/>
    <mergeCell ref="B14:B15"/>
    <mergeCell ref="N10:N11"/>
    <mergeCell ref="T10:T11"/>
    <mergeCell ref="T12:T13"/>
    <mergeCell ref="T14:T15"/>
    <mergeCell ref="C10:C11"/>
    <mergeCell ref="C12:C15"/>
  </mergeCells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M1</vt:lpstr>
      <vt:lpstr>Рсалиева Асем Айдарқызы</vt:lpstr>
      <vt:lpstr>Қожабай Абай Мырзабекұлы</vt:lpstr>
      <vt:lpstr>Қанафина Жаңагүл Несіпбайқызы</vt:lpstr>
      <vt:lpstr>Қайратұлы Ақылжан</vt:lpstr>
      <vt:lpstr>Рахимов Жанболат Жумабаеввич</vt:lpstr>
      <vt:lpstr>Рамазанова Ақбаян Азаматқызы</vt:lpstr>
      <vt:lpstr>Әубәкір Ізгіжан Еркінбекқызы</vt:lpstr>
      <vt:lpstr>Төреқұлова Гүлмира Розматқызы</vt:lpstr>
      <vt:lpstr>Бекаділ Гүлбүбі</vt:lpstr>
      <vt:lpstr>Құандық Аршын</vt:lpstr>
      <vt:lpstr>Нурмукан Айдана Сейсенқызы</vt:lpstr>
      <vt:lpstr>Ергеш Нұрсұлтан Сагитянұлы</vt:lpstr>
      <vt:lpstr>Өмірбекова Заида Маратқызы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Пользователь</cp:lastModifiedBy>
  <cp:lastPrinted>2025-11-24T06:14:45Z</cp:lastPrinted>
  <dcterms:created xsi:type="dcterms:W3CDTF">2022-10-26T06:37:00Z</dcterms:created>
  <dcterms:modified xsi:type="dcterms:W3CDTF">2026-05-12T08:03:45Z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123CCAC6982B4198AEBCEE284BCB967C_12</vt:lpwstr>
  </property>
  <property fmtid="{D5CDD505-2E9C-101B-9397-08002B2CF9AE}" pid="3" name="KSOProductBuildVer">
    <vt:lpwstr>1049-12.2.0.23131</vt:lpwstr>
  </property>
</Properties>
</file>